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W\Downloads\"/>
    </mc:Choice>
  </mc:AlternateContent>
  <xr:revisionPtr revIDLastSave="0" documentId="13_ncr:1_{237EEE94-CE9A-4622-B95F-07BFCC4BB7A4}" xr6:coauthVersionLast="47" xr6:coauthVersionMax="47" xr10:uidLastSave="{00000000-0000-0000-0000-000000000000}"/>
  <bookViews>
    <workbookView xWindow="-98" yWindow="-98" windowWidth="20715" windowHeight="13425" firstSheet="1" activeTab="6" xr2:uid="{91C2A01F-7D51-45E8-A644-AB4782616838}"/>
  </bookViews>
  <sheets>
    <sheet name="DStream" sheetId="6" state="hidden" r:id="rId1"/>
    <sheet name="Sheet1" sheetId="1" r:id="rId2"/>
    <sheet name="Data In" sheetId="5" r:id="rId3"/>
    <sheet name="Data Out" sheetId="4" r:id="rId4"/>
    <sheet name="Settings" sheetId="3" r:id="rId5"/>
    <sheet name="Manifest" sheetId="2" r:id="rId6"/>
    <sheet name="CH2 DStream" sheetId="7" r:id="rId7"/>
  </sheets>
  <definedNames>
    <definedName name="DataChannelCountSetting">Settings!$C$8</definedName>
    <definedName name="DataDelaySetting">Settings!$C$4</definedName>
    <definedName name="DataOrientationSetting">Settings!$C$10</definedName>
    <definedName name="DataRowCountSetting">Settings!$C$6</definedName>
    <definedName name="Manifest_BaudRate">Manifest!$I$9</definedName>
    <definedName name="Manifest_DataInterval">Manifest!$I$7</definedName>
    <definedName name="Manifest_Generated">Manifest!$K$5</definedName>
    <definedName name="Manifest_Id">Manifest!$I$5:$J$5</definedName>
    <definedName name="Manifest_Schema">Manifest!$L$1</definedName>
    <definedName name="Threshold" localSheetId="6">'CH2 DStream'!$AF$24</definedName>
    <definedName name="Threshold" localSheetId="0">DStream!$S$24</definedName>
    <definedName name="Threshold">Sheet1!$S$24</definedName>
    <definedName name="Threshold2">'CH2 DStream'!$AL$24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0" i="7" l="1" a="1"/>
  <c r="AA30" i="7" s="1"/>
  <c r="AC30" i="7" a="1"/>
  <c r="AC30" i="7" s="1"/>
  <c r="B5" i="4"/>
  <c r="V2" i="7"/>
  <c r="W2" i="7" s="1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A5" i="4"/>
  <c r="W3" i="7" l="1"/>
  <c r="W93" i="7"/>
  <c r="W177" i="7"/>
  <c r="W153" i="7"/>
  <c r="W173" i="7"/>
  <c r="W61" i="7"/>
  <c r="W53" i="7"/>
  <c r="W193" i="7"/>
  <c r="W169" i="7"/>
  <c r="W125" i="7"/>
  <c r="W45" i="7"/>
  <c r="W149" i="7"/>
  <c r="W201" i="7"/>
  <c r="W141" i="7"/>
  <c r="W189" i="7"/>
  <c r="W157" i="7"/>
  <c r="W109" i="7"/>
  <c r="W29" i="7"/>
  <c r="W69" i="7"/>
  <c r="W133" i="7"/>
  <c r="W9" i="7"/>
  <c r="W41" i="7"/>
  <c r="W73" i="7"/>
  <c r="W105" i="7"/>
  <c r="W6" i="7"/>
  <c r="W85" i="7"/>
  <c r="W37" i="7"/>
  <c r="W101" i="7"/>
  <c r="W25" i="7"/>
  <c r="W57" i="7"/>
  <c r="W89" i="7"/>
  <c r="W121" i="7"/>
  <c r="W145" i="7"/>
  <c r="W165" i="7"/>
  <c r="W181" i="7"/>
  <c r="W197" i="7"/>
  <c r="W185" i="7"/>
  <c r="W161" i="7"/>
  <c r="W137" i="7"/>
  <c r="W77" i="7"/>
  <c r="W13" i="7"/>
  <c r="W117" i="7"/>
  <c r="W129" i="7"/>
  <c r="W113" i="7"/>
  <c r="W97" i="7"/>
  <c r="W81" i="7"/>
  <c r="W65" i="7"/>
  <c r="W49" i="7"/>
  <c r="W33" i="7"/>
  <c r="W17" i="7"/>
  <c r="W4" i="7"/>
  <c r="W21" i="7"/>
  <c r="W5" i="7"/>
  <c r="W200" i="7"/>
  <c r="W196" i="7"/>
  <c r="W192" i="7"/>
  <c r="W188" i="7"/>
  <c r="W184" i="7"/>
  <c r="W180" i="7"/>
  <c r="W176" i="7"/>
  <c r="W172" i="7"/>
  <c r="W168" i="7"/>
  <c r="W164" i="7"/>
  <c r="W160" i="7"/>
  <c r="W156" i="7"/>
  <c r="W152" i="7"/>
  <c r="W148" i="7"/>
  <c r="W144" i="7"/>
  <c r="W140" i="7"/>
  <c r="W136" i="7"/>
  <c r="W132" i="7"/>
  <c r="W128" i="7"/>
  <c r="W124" i="7"/>
  <c r="W120" i="7"/>
  <c r="W116" i="7"/>
  <c r="W112" i="7"/>
  <c r="W108" i="7"/>
  <c r="W104" i="7"/>
  <c r="W100" i="7"/>
  <c r="W96" i="7"/>
  <c r="W92" i="7"/>
  <c r="W88" i="7"/>
  <c r="W84" i="7"/>
  <c r="W80" i="7"/>
  <c r="W76" i="7"/>
  <c r="W72" i="7"/>
  <c r="W68" i="7"/>
  <c r="W64" i="7"/>
  <c r="W60" i="7"/>
  <c r="W56" i="7"/>
  <c r="W52" i="7"/>
  <c r="W48" i="7"/>
  <c r="W44" i="7"/>
  <c r="W40" i="7"/>
  <c r="W36" i="7"/>
  <c r="W32" i="7"/>
  <c r="W28" i="7"/>
  <c r="W24" i="7"/>
  <c r="W20" i="7"/>
  <c r="W16" i="7"/>
  <c r="W12" i="7"/>
  <c r="W8" i="7"/>
  <c r="W199" i="7"/>
  <c r="W195" i="7"/>
  <c r="W191" i="7"/>
  <c r="W187" i="7"/>
  <c r="W183" i="7"/>
  <c r="W179" i="7"/>
  <c r="W175" i="7"/>
  <c r="W171" i="7"/>
  <c r="W167" i="7"/>
  <c r="W163" i="7"/>
  <c r="W159" i="7"/>
  <c r="W155" i="7"/>
  <c r="W151" i="7"/>
  <c r="W147" i="7"/>
  <c r="W143" i="7"/>
  <c r="W139" i="7"/>
  <c r="W135" i="7"/>
  <c r="W131" i="7"/>
  <c r="W127" i="7"/>
  <c r="W123" i="7"/>
  <c r="W119" i="7"/>
  <c r="W115" i="7"/>
  <c r="W111" i="7"/>
  <c r="W107" i="7"/>
  <c r="W103" i="7"/>
  <c r="W99" i="7"/>
  <c r="W95" i="7"/>
  <c r="W91" i="7"/>
  <c r="W87" i="7"/>
  <c r="W83" i="7"/>
  <c r="W79" i="7"/>
  <c r="W75" i="7"/>
  <c r="W71" i="7"/>
  <c r="W67" i="7"/>
  <c r="W63" i="7"/>
  <c r="W59" i="7"/>
  <c r="W55" i="7"/>
  <c r="W51" i="7"/>
  <c r="W47" i="7"/>
  <c r="W43" i="7"/>
  <c r="W39" i="7"/>
  <c r="W35" i="7"/>
  <c r="W31" i="7"/>
  <c r="W27" i="7"/>
  <c r="W23" i="7"/>
  <c r="W19" i="7"/>
  <c r="W15" i="7"/>
  <c r="W11" i="7"/>
  <c r="W7" i="7"/>
  <c r="W198" i="7"/>
  <c r="W194" i="7"/>
  <c r="W190" i="7"/>
  <c r="W186" i="7"/>
  <c r="W182" i="7"/>
  <c r="W178" i="7"/>
  <c r="W174" i="7"/>
  <c r="W170" i="7"/>
  <c r="W166" i="7"/>
  <c r="W162" i="7"/>
  <c r="W158" i="7"/>
  <c r="W154" i="7"/>
  <c r="W150" i="7"/>
  <c r="W146" i="7"/>
  <c r="W142" i="7"/>
  <c r="W138" i="7"/>
  <c r="W134" i="7"/>
  <c r="W130" i="7"/>
  <c r="W126" i="7"/>
  <c r="W122" i="7"/>
  <c r="W118" i="7"/>
  <c r="W114" i="7"/>
  <c r="W110" i="7"/>
  <c r="W106" i="7"/>
  <c r="W102" i="7"/>
  <c r="W98" i="7"/>
  <c r="W94" i="7"/>
  <c r="W90" i="7"/>
  <c r="W86" i="7"/>
  <c r="W82" i="7"/>
  <c r="W78" i="7"/>
  <c r="W74" i="7"/>
  <c r="W70" i="7"/>
  <c r="W66" i="7"/>
  <c r="W62" i="7"/>
  <c r="W58" i="7"/>
  <c r="W54" i="7"/>
  <c r="W50" i="7"/>
  <c r="W46" i="7"/>
  <c r="W42" i="7"/>
  <c r="W38" i="7"/>
  <c r="W34" i="7"/>
  <c r="W30" i="7"/>
  <c r="W26" i="7"/>
  <c r="W22" i="7"/>
  <c r="W18" i="7"/>
  <c r="W14" i="7"/>
  <c r="W10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C2" i="7" s="1"/>
  <c r="D2" i="7" s="1"/>
  <c r="E2" i="7" s="1"/>
  <c r="H2" i="7" s="1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B401" i="6"/>
  <c r="H400" i="6"/>
  <c r="C400" i="6"/>
  <c r="D400" i="6" s="1"/>
  <c r="E400" i="6" s="1"/>
  <c r="B400" i="6"/>
  <c r="B399" i="6"/>
  <c r="H398" i="6"/>
  <c r="C398" i="6"/>
  <c r="D398" i="6" s="1"/>
  <c r="E398" i="6" s="1"/>
  <c r="B398" i="6"/>
  <c r="B397" i="6"/>
  <c r="H396" i="6"/>
  <c r="C396" i="6"/>
  <c r="D396" i="6" s="1"/>
  <c r="E396" i="6" s="1"/>
  <c r="B396" i="6"/>
  <c r="B395" i="6"/>
  <c r="H394" i="6"/>
  <c r="C394" i="6"/>
  <c r="D394" i="6" s="1"/>
  <c r="E394" i="6" s="1"/>
  <c r="B394" i="6"/>
  <c r="B393" i="6"/>
  <c r="H392" i="6"/>
  <c r="C392" i="6"/>
  <c r="D392" i="6" s="1"/>
  <c r="E392" i="6" s="1"/>
  <c r="B392" i="6"/>
  <c r="B391" i="6"/>
  <c r="H390" i="6"/>
  <c r="C390" i="6"/>
  <c r="D390" i="6" s="1"/>
  <c r="E390" i="6" s="1"/>
  <c r="B390" i="6"/>
  <c r="B389" i="6"/>
  <c r="H388" i="6"/>
  <c r="C388" i="6"/>
  <c r="D388" i="6" s="1"/>
  <c r="E388" i="6" s="1"/>
  <c r="B388" i="6"/>
  <c r="B387" i="6"/>
  <c r="H386" i="6"/>
  <c r="C386" i="6"/>
  <c r="D386" i="6" s="1"/>
  <c r="E386" i="6" s="1"/>
  <c r="B386" i="6"/>
  <c r="B385" i="6"/>
  <c r="H384" i="6"/>
  <c r="C384" i="6"/>
  <c r="D384" i="6" s="1"/>
  <c r="E384" i="6" s="1"/>
  <c r="B384" i="6"/>
  <c r="B383" i="6"/>
  <c r="H382" i="6"/>
  <c r="C382" i="6"/>
  <c r="D382" i="6" s="1"/>
  <c r="E382" i="6" s="1"/>
  <c r="B382" i="6"/>
  <c r="B381" i="6"/>
  <c r="H380" i="6"/>
  <c r="C380" i="6"/>
  <c r="D380" i="6" s="1"/>
  <c r="E380" i="6" s="1"/>
  <c r="B380" i="6"/>
  <c r="B379" i="6"/>
  <c r="H378" i="6"/>
  <c r="C378" i="6"/>
  <c r="D378" i="6" s="1"/>
  <c r="E378" i="6" s="1"/>
  <c r="B378" i="6"/>
  <c r="B377" i="6"/>
  <c r="H376" i="6"/>
  <c r="C376" i="6"/>
  <c r="D376" i="6" s="1"/>
  <c r="E376" i="6" s="1"/>
  <c r="B376" i="6"/>
  <c r="B375" i="6"/>
  <c r="H374" i="6"/>
  <c r="C374" i="6"/>
  <c r="D374" i="6" s="1"/>
  <c r="E374" i="6" s="1"/>
  <c r="B374" i="6"/>
  <c r="B373" i="6"/>
  <c r="H372" i="6"/>
  <c r="C372" i="6"/>
  <c r="D372" i="6" s="1"/>
  <c r="E372" i="6" s="1"/>
  <c r="B372" i="6"/>
  <c r="B371" i="6"/>
  <c r="H370" i="6"/>
  <c r="C370" i="6"/>
  <c r="D370" i="6" s="1"/>
  <c r="E370" i="6" s="1"/>
  <c r="B370" i="6"/>
  <c r="B369" i="6"/>
  <c r="H368" i="6"/>
  <c r="C368" i="6"/>
  <c r="D368" i="6" s="1"/>
  <c r="E368" i="6" s="1"/>
  <c r="B368" i="6"/>
  <c r="B367" i="6"/>
  <c r="C366" i="6"/>
  <c r="D366" i="6" s="1"/>
  <c r="E366" i="6" s="1"/>
  <c r="H366" i="6" s="1"/>
  <c r="B366" i="6"/>
  <c r="C365" i="6"/>
  <c r="D365" i="6" s="1"/>
  <c r="E365" i="6" s="1"/>
  <c r="H365" i="6" s="1"/>
  <c r="B365" i="6"/>
  <c r="C364" i="6"/>
  <c r="D364" i="6" s="1"/>
  <c r="E364" i="6" s="1"/>
  <c r="H364" i="6" s="1"/>
  <c r="B364" i="6"/>
  <c r="C363" i="6"/>
  <c r="D363" i="6" s="1"/>
  <c r="E363" i="6" s="1"/>
  <c r="H363" i="6" s="1"/>
  <c r="B363" i="6"/>
  <c r="C362" i="6"/>
  <c r="B362" i="6"/>
  <c r="C361" i="6"/>
  <c r="D361" i="6" s="1"/>
  <c r="E361" i="6" s="1"/>
  <c r="H361" i="6" s="1"/>
  <c r="B361" i="6"/>
  <c r="C360" i="6"/>
  <c r="B360" i="6"/>
  <c r="C359" i="6"/>
  <c r="B359" i="6"/>
  <c r="E358" i="6"/>
  <c r="H358" i="6" s="1"/>
  <c r="C358" i="6"/>
  <c r="D358" i="6" s="1"/>
  <c r="B358" i="6"/>
  <c r="C357" i="6"/>
  <c r="D357" i="6" s="1"/>
  <c r="E357" i="6" s="1"/>
  <c r="H357" i="6" s="1"/>
  <c r="B357" i="6"/>
  <c r="E356" i="6"/>
  <c r="H356" i="6" s="1"/>
  <c r="C356" i="6"/>
  <c r="D356" i="6" s="1"/>
  <c r="B356" i="6"/>
  <c r="C355" i="6"/>
  <c r="D355" i="6" s="1"/>
  <c r="E355" i="6" s="1"/>
  <c r="H355" i="6" s="1"/>
  <c r="B355" i="6"/>
  <c r="E354" i="6"/>
  <c r="H354" i="6" s="1"/>
  <c r="C354" i="6"/>
  <c r="D354" i="6" s="1"/>
  <c r="B354" i="6"/>
  <c r="C353" i="6"/>
  <c r="D353" i="6" s="1"/>
  <c r="E353" i="6" s="1"/>
  <c r="H353" i="6" s="1"/>
  <c r="B353" i="6"/>
  <c r="E352" i="6"/>
  <c r="H352" i="6" s="1"/>
  <c r="C352" i="6"/>
  <c r="D352" i="6" s="1"/>
  <c r="B352" i="6"/>
  <c r="C351" i="6"/>
  <c r="D351" i="6" s="1"/>
  <c r="E351" i="6" s="1"/>
  <c r="H351" i="6" s="1"/>
  <c r="B351" i="6"/>
  <c r="E350" i="6"/>
  <c r="H350" i="6" s="1"/>
  <c r="C350" i="6"/>
  <c r="D350" i="6" s="1"/>
  <c r="B350" i="6"/>
  <c r="C349" i="6"/>
  <c r="D349" i="6" s="1"/>
  <c r="E349" i="6" s="1"/>
  <c r="H349" i="6" s="1"/>
  <c r="B349" i="6"/>
  <c r="C348" i="6"/>
  <c r="D348" i="6" s="1"/>
  <c r="E348" i="6" s="1"/>
  <c r="H348" i="6" s="1"/>
  <c r="B348" i="6"/>
  <c r="E347" i="6"/>
  <c r="H347" i="6" s="1"/>
  <c r="C347" i="6"/>
  <c r="D347" i="6" s="1"/>
  <c r="B347" i="6"/>
  <c r="C346" i="6"/>
  <c r="D346" i="6" s="1"/>
  <c r="E346" i="6" s="1"/>
  <c r="H346" i="6" s="1"/>
  <c r="B346" i="6"/>
  <c r="E345" i="6"/>
  <c r="H345" i="6" s="1"/>
  <c r="C345" i="6"/>
  <c r="D345" i="6" s="1"/>
  <c r="B345" i="6"/>
  <c r="C344" i="6"/>
  <c r="D344" i="6" s="1"/>
  <c r="E344" i="6" s="1"/>
  <c r="H344" i="6" s="1"/>
  <c r="B344" i="6"/>
  <c r="C343" i="6"/>
  <c r="B343" i="6"/>
  <c r="C342" i="6"/>
  <c r="D342" i="6" s="1"/>
  <c r="E342" i="6" s="1"/>
  <c r="H342" i="6" s="1"/>
  <c r="B342" i="6"/>
  <c r="C341" i="6"/>
  <c r="B341" i="6"/>
  <c r="C340" i="6"/>
  <c r="D340" i="6" s="1"/>
  <c r="E340" i="6" s="1"/>
  <c r="H340" i="6" s="1"/>
  <c r="B340" i="6"/>
  <c r="C339" i="6"/>
  <c r="B339" i="6"/>
  <c r="C338" i="6"/>
  <c r="D338" i="6" s="1"/>
  <c r="E338" i="6" s="1"/>
  <c r="H338" i="6" s="1"/>
  <c r="B338" i="6"/>
  <c r="C337" i="6"/>
  <c r="B337" i="6"/>
  <c r="C336" i="6"/>
  <c r="D336" i="6" s="1"/>
  <c r="E336" i="6" s="1"/>
  <c r="H336" i="6" s="1"/>
  <c r="B336" i="6"/>
  <c r="C335" i="6"/>
  <c r="B335" i="6"/>
  <c r="C334" i="6"/>
  <c r="D334" i="6" s="1"/>
  <c r="E334" i="6" s="1"/>
  <c r="H334" i="6" s="1"/>
  <c r="B334" i="6"/>
  <c r="C333" i="6"/>
  <c r="B333" i="6"/>
  <c r="C332" i="6"/>
  <c r="D332" i="6" s="1"/>
  <c r="E332" i="6" s="1"/>
  <c r="H332" i="6" s="1"/>
  <c r="B332" i="6"/>
  <c r="D331" i="6"/>
  <c r="C331" i="6"/>
  <c r="B331" i="6"/>
  <c r="B330" i="6"/>
  <c r="C330" i="6" s="1"/>
  <c r="D329" i="6"/>
  <c r="C329" i="6"/>
  <c r="B329" i="6"/>
  <c r="B328" i="6"/>
  <c r="C328" i="6" s="1"/>
  <c r="E327" i="6"/>
  <c r="H327" i="6" s="1"/>
  <c r="D327" i="6"/>
  <c r="C327" i="6"/>
  <c r="B327" i="6"/>
  <c r="C326" i="6"/>
  <c r="D326" i="6" s="1"/>
  <c r="E326" i="6" s="1"/>
  <c r="H326" i="6" s="1"/>
  <c r="B326" i="6"/>
  <c r="B325" i="6"/>
  <c r="C325" i="6" s="1"/>
  <c r="B324" i="6"/>
  <c r="D323" i="6"/>
  <c r="E323" i="6" s="1"/>
  <c r="H323" i="6" s="1"/>
  <c r="B323" i="6"/>
  <c r="C323" i="6" s="1"/>
  <c r="B322" i="6"/>
  <c r="B321" i="6"/>
  <c r="C321" i="6" s="1"/>
  <c r="D321" i="6" s="1"/>
  <c r="E321" i="6" s="1"/>
  <c r="H321" i="6" s="1"/>
  <c r="B320" i="6"/>
  <c r="C320" i="6" s="1"/>
  <c r="B319" i="6"/>
  <c r="C319" i="6" s="1"/>
  <c r="C318" i="6"/>
  <c r="D318" i="6" s="1"/>
  <c r="E318" i="6" s="1"/>
  <c r="H318" i="6" s="1"/>
  <c r="B318" i="6"/>
  <c r="B317" i="6"/>
  <c r="C317" i="6" s="1"/>
  <c r="B316" i="6"/>
  <c r="D315" i="6"/>
  <c r="E315" i="6" s="1"/>
  <c r="H315" i="6" s="1"/>
  <c r="B315" i="6"/>
  <c r="C315" i="6" s="1"/>
  <c r="B314" i="6"/>
  <c r="B313" i="6"/>
  <c r="C313" i="6" s="1"/>
  <c r="D313" i="6" s="1"/>
  <c r="E313" i="6" s="1"/>
  <c r="H313" i="6" s="1"/>
  <c r="B312" i="6"/>
  <c r="C312" i="6" s="1"/>
  <c r="B311" i="6"/>
  <c r="C311" i="6" s="1"/>
  <c r="C310" i="6"/>
  <c r="D310" i="6" s="1"/>
  <c r="E310" i="6" s="1"/>
  <c r="H310" i="6" s="1"/>
  <c r="B310" i="6"/>
  <c r="B309" i="6"/>
  <c r="C309" i="6" s="1"/>
  <c r="B308" i="6"/>
  <c r="D307" i="6"/>
  <c r="E307" i="6" s="1"/>
  <c r="H307" i="6" s="1"/>
  <c r="B307" i="6"/>
  <c r="C307" i="6" s="1"/>
  <c r="B306" i="6"/>
  <c r="D305" i="6"/>
  <c r="E305" i="6" s="1"/>
  <c r="H305" i="6" s="1"/>
  <c r="B305" i="6"/>
  <c r="C305" i="6" s="1"/>
  <c r="C304" i="6"/>
  <c r="B304" i="6"/>
  <c r="B303" i="6"/>
  <c r="B302" i="6"/>
  <c r="B301" i="6"/>
  <c r="C301" i="6" s="1"/>
  <c r="B300" i="6"/>
  <c r="C300" i="6" s="1"/>
  <c r="E299" i="6"/>
  <c r="H299" i="6" s="1"/>
  <c r="D299" i="6"/>
  <c r="B299" i="6"/>
  <c r="C299" i="6" s="1"/>
  <c r="D298" i="6"/>
  <c r="E298" i="6" s="1"/>
  <c r="H298" i="6" s="1"/>
  <c r="C298" i="6"/>
  <c r="B298" i="6"/>
  <c r="D297" i="6"/>
  <c r="E297" i="6" s="1"/>
  <c r="H297" i="6" s="1"/>
  <c r="B297" i="6"/>
  <c r="C297" i="6" s="1"/>
  <c r="C296" i="6"/>
  <c r="B296" i="6"/>
  <c r="B295" i="6"/>
  <c r="B294" i="6"/>
  <c r="B293" i="6"/>
  <c r="C293" i="6" s="1"/>
  <c r="B292" i="6"/>
  <c r="C292" i="6" s="1"/>
  <c r="E291" i="6"/>
  <c r="H291" i="6" s="1"/>
  <c r="D291" i="6"/>
  <c r="B291" i="6"/>
  <c r="C291" i="6" s="1"/>
  <c r="D290" i="6"/>
  <c r="E290" i="6" s="1"/>
  <c r="H290" i="6" s="1"/>
  <c r="C290" i="6"/>
  <c r="B290" i="6"/>
  <c r="D289" i="6"/>
  <c r="E289" i="6" s="1"/>
  <c r="H289" i="6" s="1"/>
  <c r="B289" i="6"/>
  <c r="C289" i="6" s="1"/>
  <c r="C288" i="6"/>
  <c r="B288" i="6"/>
  <c r="B287" i="6"/>
  <c r="B286" i="6"/>
  <c r="B285" i="6"/>
  <c r="C285" i="6" s="1"/>
  <c r="B284" i="6"/>
  <c r="C284" i="6" s="1"/>
  <c r="E283" i="6"/>
  <c r="H283" i="6" s="1"/>
  <c r="D283" i="6"/>
  <c r="B283" i="6"/>
  <c r="C283" i="6" s="1"/>
  <c r="D282" i="6"/>
  <c r="E282" i="6" s="1"/>
  <c r="H282" i="6" s="1"/>
  <c r="C282" i="6"/>
  <c r="B282" i="6"/>
  <c r="D281" i="6"/>
  <c r="E281" i="6" s="1"/>
  <c r="H281" i="6" s="1"/>
  <c r="B281" i="6"/>
  <c r="C281" i="6" s="1"/>
  <c r="C280" i="6"/>
  <c r="B280" i="6"/>
  <c r="B279" i="6"/>
  <c r="B278" i="6"/>
  <c r="B277" i="6"/>
  <c r="C277" i="6" s="1"/>
  <c r="B276" i="6"/>
  <c r="C276" i="6" s="1"/>
  <c r="E275" i="6"/>
  <c r="H275" i="6" s="1"/>
  <c r="D275" i="6"/>
  <c r="B275" i="6"/>
  <c r="C275" i="6" s="1"/>
  <c r="B274" i="6"/>
  <c r="C274" i="6" s="1"/>
  <c r="H273" i="6"/>
  <c r="D273" i="6"/>
  <c r="E273" i="6" s="1"/>
  <c r="C273" i="6"/>
  <c r="B273" i="6"/>
  <c r="B272" i="6"/>
  <c r="D271" i="6"/>
  <c r="E271" i="6" s="1"/>
  <c r="H271" i="6" s="1"/>
  <c r="C271" i="6"/>
  <c r="B271" i="6"/>
  <c r="B270" i="6"/>
  <c r="D269" i="6"/>
  <c r="E269" i="6" s="1"/>
  <c r="H269" i="6" s="1"/>
  <c r="C269" i="6"/>
  <c r="B269" i="6"/>
  <c r="B268" i="6"/>
  <c r="D267" i="6"/>
  <c r="E267" i="6" s="1"/>
  <c r="H267" i="6" s="1"/>
  <c r="C267" i="6"/>
  <c r="B267" i="6"/>
  <c r="B266" i="6"/>
  <c r="D265" i="6"/>
  <c r="E265" i="6" s="1"/>
  <c r="H265" i="6" s="1"/>
  <c r="C265" i="6"/>
  <c r="B265" i="6"/>
  <c r="B264" i="6"/>
  <c r="D263" i="6"/>
  <c r="E263" i="6" s="1"/>
  <c r="H263" i="6" s="1"/>
  <c r="C263" i="6"/>
  <c r="B263" i="6"/>
  <c r="B262" i="6"/>
  <c r="D261" i="6"/>
  <c r="E261" i="6" s="1"/>
  <c r="H261" i="6" s="1"/>
  <c r="C261" i="6"/>
  <c r="B261" i="6"/>
  <c r="B260" i="6"/>
  <c r="D259" i="6"/>
  <c r="E259" i="6" s="1"/>
  <c r="H259" i="6" s="1"/>
  <c r="C259" i="6"/>
  <c r="B259" i="6"/>
  <c r="B258" i="6"/>
  <c r="D257" i="6"/>
  <c r="E257" i="6" s="1"/>
  <c r="H257" i="6" s="1"/>
  <c r="C257" i="6"/>
  <c r="B257" i="6"/>
  <c r="B256" i="6"/>
  <c r="D255" i="6"/>
  <c r="E255" i="6" s="1"/>
  <c r="H255" i="6" s="1"/>
  <c r="C255" i="6"/>
  <c r="B255" i="6"/>
  <c r="C254" i="6"/>
  <c r="B254" i="6"/>
  <c r="B253" i="6"/>
  <c r="C253" i="6" s="1"/>
  <c r="B252" i="6"/>
  <c r="C252" i="6" s="1"/>
  <c r="B251" i="6"/>
  <c r="C251" i="6" s="1"/>
  <c r="B250" i="6"/>
  <c r="C250" i="6" s="1"/>
  <c r="B249" i="6"/>
  <c r="C249" i="6" s="1"/>
  <c r="B248" i="6"/>
  <c r="C248" i="6" s="1"/>
  <c r="B247" i="6"/>
  <c r="C247" i="6" s="1"/>
  <c r="B246" i="6"/>
  <c r="C246" i="6" s="1"/>
  <c r="B245" i="6"/>
  <c r="C245" i="6" s="1"/>
  <c r="B244" i="6"/>
  <c r="C244" i="6" s="1"/>
  <c r="B243" i="6"/>
  <c r="C243" i="6" s="1"/>
  <c r="B242" i="6"/>
  <c r="C242" i="6" s="1"/>
  <c r="B241" i="6"/>
  <c r="C241" i="6" s="1"/>
  <c r="B240" i="6"/>
  <c r="C240" i="6" s="1"/>
  <c r="B239" i="6"/>
  <c r="C239" i="6" s="1"/>
  <c r="B238" i="6"/>
  <c r="C238" i="6" s="1"/>
  <c r="B237" i="6"/>
  <c r="C237" i="6" s="1"/>
  <c r="B236" i="6"/>
  <c r="C236" i="6" s="1"/>
  <c r="B235" i="6"/>
  <c r="C235" i="6" s="1"/>
  <c r="B234" i="6"/>
  <c r="C234" i="6" s="1"/>
  <c r="B233" i="6"/>
  <c r="C233" i="6" s="1"/>
  <c r="B232" i="6"/>
  <c r="C232" i="6" s="1"/>
  <c r="B231" i="6"/>
  <c r="C231" i="6" s="1"/>
  <c r="B230" i="6"/>
  <c r="C230" i="6" s="1"/>
  <c r="B229" i="6"/>
  <c r="C229" i="6" s="1"/>
  <c r="B228" i="6"/>
  <c r="C228" i="6" s="1"/>
  <c r="B227" i="6"/>
  <c r="C227" i="6" s="1"/>
  <c r="B226" i="6"/>
  <c r="C226" i="6" s="1"/>
  <c r="B225" i="6"/>
  <c r="C225" i="6" s="1"/>
  <c r="D225" i="6" s="1"/>
  <c r="E225" i="6" s="1"/>
  <c r="H225" i="6" s="1"/>
  <c r="C224" i="6"/>
  <c r="D224" i="6" s="1"/>
  <c r="E224" i="6" s="1"/>
  <c r="H224" i="6" s="1"/>
  <c r="B224" i="6"/>
  <c r="B223" i="6"/>
  <c r="C223" i="6" s="1"/>
  <c r="B222" i="6"/>
  <c r="C222" i="6" s="1"/>
  <c r="D221" i="6"/>
  <c r="E221" i="6" s="1"/>
  <c r="H221" i="6" s="1"/>
  <c r="B221" i="6"/>
  <c r="C221" i="6" s="1"/>
  <c r="B220" i="6"/>
  <c r="B219" i="6"/>
  <c r="C219" i="6" s="1"/>
  <c r="B218" i="6"/>
  <c r="C218" i="6" s="1"/>
  <c r="B217" i="6"/>
  <c r="C217" i="6" s="1"/>
  <c r="D217" i="6" s="1"/>
  <c r="E217" i="6" s="1"/>
  <c r="H217" i="6" s="1"/>
  <c r="C216" i="6"/>
  <c r="B216" i="6"/>
  <c r="B215" i="6"/>
  <c r="C215" i="6" s="1"/>
  <c r="B214" i="6"/>
  <c r="D213" i="6"/>
  <c r="E213" i="6" s="1"/>
  <c r="H213" i="6" s="1"/>
  <c r="B213" i="6"/>
  <c r="C213" i="6" s="1"/>
  <c r="B212" i="6"/>
  <c r="B211" i="6"/>
  <c r="C211" i="6" s="1"/>
  <c r="B210" i="6"/>
  <c r="C210" i="6" s="1"/>
  <c r="H209" i="6"/>
  <c r="B209" i="6"/>
  <c r="C209" i="6" s="1"/>
  <c r="D209" i="6" s="1"/>
  <c r="E209" i="6" s="1"/>
  <c r="C208" i="6"/>
  <c r="B208" i="6"/>
  <c r="B207" i="6"/>
  <c r="C207" i="6" s="1"/>
  <c r="B206" i="6"/>
  <c r="D205" i="6"/>
  <c r="E205" i="6" s="1"/>
  <c r="H205" i="6" s="1"/>
  <c r="B205" i="6"/>
  <c r="C205" i="6" s="1"/>
  <c r="B204" i="6"/>
  <c r="B203" i="6"/>
  <c r="C203" i="6" s="1"/>
  <c r="B202" i="6"/>
  <c r="C202" i="6" s="1"/>
  <c r="B201" i="6"/>
  <c r="C201" i="6" s="1"/>
  <c r="D201" i="6" s="1"/>
  <c r="E201" i="6" s="1"/>
  <c r="H201" i="6" s="1"/>
  <c r="C200" i="6"/>
  <c r="B200" i="6"/>
  <c r="B199" i="6"/>
  <c r="C199" i="6" s="1"/>
  <c r="B198" i="6"/>
  <c r="D197" i="6"/>
  <c r="E197" i="6" s="1"/>
  <c r="H197" i="6" s="1"/>
  <c r="B197" i="6"/>
  <c r="C197" i="6" s="1"/>
  <c r="B196" i="6"/>
  <c r="B195" i="6"/>
  <c r="C195" i="6" s="1"/>
  <c r="B194" i="6"/>
  <c r="C194" i="6" s="1"/>
  <c r="B193" i="6"/>
  <c r="C193" i="6" s="1"/>
  <c r="D193" i="6" s="1"/>
  <c r="E193" i="6" s="1"/>
  <c r="H193" i="6" s="1"/>
  <c r="C192" i="6"/>
  <c r="B192" i="6"/>
  <c r="B191" i="6"/>
  <c r="C191" i="6" s="1"/>
  <c r="B190" i="6"/>
  <c r="B189" i="6"/>
  <c r="C189" i="6" s="1"/>
  <c r="D188" i="6"/>
  <c r="E188" i="6" s="1"/>
  <c r="H188" i="6" s="1"/>
  <c r="B188" i="6"/>
  <c r="C188" i="6" s="1"/>
  <c r="D187" i="6"/>
  <c r="E187" i="6" s="1"/>
  <c r="H187" i="6" s="1"/>
  <c r="B187" i="6"/>
  <c r="C187" i="6" s="1"/>
  <c r="C186" i="6"/>
  <c r="B186" i="6"/>
  <c r="B185" i="6"/>
  <c r="B184" i="6"/>
  <c r="B183" i="6"/>
  <c r="C183" i="6" s="1"/>
  <c r="D183" i="6" s="1"/>
  <c r="E183" i="6" s="1"/>
  <c r="H183" i="6" s="1"/>
  <c r="B182" i="6"/>
  <c r="C182" i="6" s="1"/>
  <c r="B181" i="6"/>
  <c r="C181" i="6" s="1"/>
  <c r="B180" i="6"/>
  <c r="C180" i="6" s="1"/>
  <c r="D179" i="6"/>
  <c r="E179" i="6" s="1"/>
  <c r="H179" i="6" s="1"/>
  <c r="B179" i="6"/>
  <c r="C179" i="6" s="1"/>
  <c r="C178" i="6"/>
  <c r="B178" i="6"/>
  <c r="B177" i="6"/>
  <c r="B176" i="6"/>
  <c r="B175" i="6"/>
  <c r="C175" i="6" s="1"/>
  <c r="D175" i="6" s="1"/>
  <c r="E175" i="6" s="1"/>
  <c r="H175" i="6" s="1"/>
  <c r="B174" i="6"/>
  <c r="C174" i="6" s="1"/>
  <c r="B173" i="6"/>
  <c r="C173" i="6" s="1"/>
  <c r="B172" i="6"/>
  <c r="C172" i="6" s="1"/>
  <c r="D172" i="6" s="1"/>
  <c r="E172" i="6" s="1"/>
  <c r="H172" i="6" s="1"/>
  <c r="D171" i="6"/>
  <c r="E171" i="6" s="1"/>
  <c r="H171" i="6" s="1"/>
  <c r="B171" i="6"/>
  <c r="C171" i="6" s="1"/>
  <c r="C170" i="6"/>
  <c r="B170" i="6"/>
  <c r="B169" i="6"/>
  <c r="B168" i="6"/>
  <c r="B167" i="6"/>
  <c r="C167" i="6" s="1"/>
  <c r="D167" i="6" s="1"/>
  <c r="E167" i="6" s="1"/>
  <c r="H167" i="6" s="1"/>
  <c r="B166" i="6"/>
  <c r="C166" i="6" s="1"/>
  <c r="B165" i="6"/>
  <c r="C165" i="6" s="1"/>
  <c r="D164" i="6"/>
  <c r="E164" i="6" s="1"/>
  <c r="H164" i="6" s="1"/>
  <c r="B164" i="6"/>
  <c r="C164" i="6" s="1"/>
  <c r="D163" i="6"/>
  <c r="E163" i="6" s="1"/>
  <c r="H163" i="6" s="1"/>
  <c r="B163" i="6"/>
  <c r="C163" i="6" s="1"/>
  <c r="C162" i="6"/>
  <c r="B162" i="6"/>
  <c r="B161" i="6"/>
  <c r="C160" i="6"/>
  <c r="D160" i="6" s="1"/>
  <c r="E160" i="6" s="1"/>
  <c r="H160" i="6" s="1"/>
  <c r="B160" i="6"/>
  <c r="B159" i="6"/>
  <c r="C159" i="6" s="1"/>
  <c r="B158" i="6"/>
  <c r="C158" i="6" s="1"/>
  <c r="D158" i="6" s="1"/>
  <c r="E158" i="6" s="1"/>
  <c r="H158" i="6" s="1"/>
  <c r="B157" i="6"/>
  <c r="C157" i="6" s="1"/>
  <c r="D156" i="6"/>
  <c r="E156" i="6" s="1"/>
  <c r="H156" i="6" s="1"/>
  <c r="B156" i="6"/>
  <c r="C156" i="6" s="1"/>
  <c r="E155" i="6"/>
  <c r="H155" i="6" s="1"/>
  <c r="D155" i="6"/>
  <c r="B155" i="6"/>
  <c r="C155" i="6" s="1"/>
  <c r="C154" i="6"/>
  <c r="D154" i="6" s="1"/>
  <c r="E154" i="6" s="1"/>
  <c r="H154" i="6" s="1"/>
  <c r="B154" i="6"/>
  <c r="B153" i="6"/>
  <c r="B152" i="6"/>
  <c r="B151" i="6"/>
  <c r="C151" i="6" s="1"/>
  <c r="B150" i="6"/>
  <c r="C150" i="6" s="1"/>
  <c r="D150" i="6" s="1"/>
  <c r="E150" i="6" s="1"/>
  <c r="H150" i="6" s="1"/>
  <c r="B149" i="6"/>
  <c r="C149" i="6" s="1"/>
  <c r="B148" i="6"/>
  <c r="C148" i="6" s="1"/>
  <c r="E147" i="6"/>
  <c r="H147" i="6" s="1"/>
  <c r="D147" i="6"/>
  <c r="B147" i="6"/>
  <c r="C147" i="6" s="1"/>
  <c r="H146" i="6"/>
  <c r="D146" i="6"/>
  <c r="E146" i="6" s="1"/>
  <c r="C146" i="6"/>
  <c r="B146" i="6"/>
  <c r="B145" i="6"/>
  <c r="B144" i="6"/>
  <c r="C144" i="6" s="1"/>
  <c r="B143" i="6"/>
  <c r="C143" i="6" s="1"/>
  <c r="C142" i="6"/>
  <c r="D142" i="6" s="1"/>
  <c r="E142" i="6" s="1"/>
  <c r="H142" i="6" s="1"/>
  <c r="B142" i="6"/>
  <c r="B141" i="6"/>
  <c r="C141" i="6" s="1"/>
  <c r="D141" i="6" s="1"/>
  <c r="E141" i="6" s="1"/>
  <c r="H141" i="6" s="1"/>
  <c r="C140" i="6"/>
  <c r="D140" i="6" s="1"/>
  <c r="E140" i="6" s="1"/>
  <c r="H140" i="6" s="1"/>
  <c r="B140" i="6"/>
  <c r="E139" i="6"/>
  <c r="H139" i="6" s="1"/>
  <c r="D139" i="6"/>
  <c r="B139" i="6"/>
  <c r="C139" i="6" s="1"/>
  <c r="B138" i="6"/>
  <c r="C138" i="6" s="1"/>
  <c r="D137" i="6"/>
  <c r="E137" i="6" s="1"/>
  <c r="H137" i="6" s="1"/>
  <c r="B137" i="6"/>
  <c r="C137" i="6" s="1"/>
  <c r="B136" i="6"/>
  <c r="B135" i="6"/>
  <c r="C135" i="6" s="1"/>
  <c r="C134" i="6"/>
  <c r="D134" i="6" s="1"/>
  <c r="E134" i="6" s="1"/>
  <c r="H134" i="6" s="1"/>
  <c r="B134" i="6"/>
  <c r="B133" i="6"/>
  <c r="C133" i="6" s="1"/>
  <c r="D133" i="6" s="1"/>
  <c r="E133" i="6" s="1"/>
  <c r="H133" i="6" s="1"/>
  <c r="C132" i="6"/>
  <c r="D132" i="6" s="1"/>
  <c r="E132" i="6" s="1"/>
  <c r="H132" i="6" s="1"/>
  <c r="B132" i="6"/>
  <c r="E131" i="6"/>
  <c r="H131" i="6" s="1"/>
  <c r="D131" i="6"/>
  <c r="B131" i="6"/>
  <c r="C131" i="6" s="1"/>
  <c r="B130" i="6"/>
  <c r="C130" i="6" s="1"/>
  <c r="D129" i="6"/>
  <c r="E129" i="6" s="1"/>
  <c r="H129" i="6" s="1"/>
  <c r="B129" i="6"/>
  <c r="C129" i="6" s="1"/>
  <c r="B128" i="6"/>
  <c r="B127" i="6"/>
  <c r="C127" i="6" s="1"/>
  <c r="C126" i="6"/>
  <c r="D126" i="6" s="1"/>
  <c r="E126" i="6" s="1"/>
  <c r="H126" i="6" s="1"/>
  <c r="B126" i="6"/>
  <c r="B125" i="6"/>
  <c r="C125" i="6" s="1"/>
  <c r="D125" i="6" s="1"/>
  <c r="E125" i="6" s="1"/>
  <c r="H125" i="6" s="1"/>
  <c r="C124" i="6"/>
  <c r="D124" i="6" s="1"/>
  <c r="E124" i="6" s="1"/>
  <c r="H124" i="6" s="1"/>
  <c r="B124" i="6"/>
  <c r="E123" i="6"/>
  <c r="H123" i="6" s="1"/>
  <c r="D123" i="6"/>
  <c r="B123" i="6"/>
  <c r="C123" i="6" s="1"/>
  <c r="B122" i="6"/>
  <c r="C122" i="6" s="1"/>
  <c r="D121" i="6"/>
  <c r="E121" i="6" s="1"/>
  <c r="H121" i="6" s="1"/>
  <c r="B121" i="6"/>
  <c r="C121" i="6" s="1"/>
  <c r="B120" i="6"/>
  <c r="B119" i="6"/>
  <c r="C119" i="6" s="1"/>
  <c r="C118" i="6"/>
  <c r="D118" i="6" s="1"/>
  <c r="E118" i="6" s="1"/>
  <c r="H118" i="6" s="1"/>
  <c r="B118" i="6"/>
  <c r="B117" i="6"/>
  <c r="C117" i="6" s="1"/>
  <c r="D117" i="6" s="1"/>
  <c r="E117" i="6" s="1"/>
  <c r="H117" i="6" s="1"/>
  <c r="C116" i="6"/>
  <c r="D116" i="6" s="1"/>
  <c r="E116" i="6" s="1"/>
  <c r="H116" i="6" s="1"/>
  <c r="B116" i="6"/>
  <c r="E115" i="6"/>
  <c r="H115" i="6" s="1"/>
  <c r="D115" i="6"/>
  <c r="B115" i="6"/>
  <c r="C115" i="6" s="1"/>
  <c r="B114" i="6"/>
  <c r="C114" i="6" s="1"/>
  <c r="D113" i="6"/>
  <c r="E113" i="6" s="1"/>
  <c r="H113" i="6" s="1"/>
  <c r="B113" i="6"/>
  <c r="C113" i="6" s="1"/>
  <c r="B112" i="6"/>
  <c r="B111" i="6"/>
  <c r="C111" i="6" s="1"/>
  <c r="C110" i="6"/>
  <c r="D110" i="6" s="1"/>
  <c r="E110" i="6" s="1"/>
  <c r="H110" i="6" s="1"/>
  <c r="B110" i="6"/>
  <c r="B109" i="6"/>
  <c r="C109" i="6" s="1"/>
  <c r="D109" i="6" s="1"/>
  <c r="E109" i="6" s="1"/>
  <c r="H109" i="6" s="1"/>
  <c r="C108" i="6"/>
  <c r="D108" i="6" s="1"/>
  <c r="E108" i="6" s="1"/>
  <c r="H108" i="6" s="1"/>
  <c r="B108" i="6"/>
  <c r="E107" i="6"/>
  <c r="H107" i="6" s="1"/>
  <c r="D107" i="6"/>
  <c r="B107" i="6"/>
  <c r="C107" i="6" s="1"/>
  <c r="B106" i="6"/>
  <c r="C106" i="6" s="1"/>
  <c r="B105" i="6"/>
  <c r="C105" i="6" s="1"/>
  <c r="D105" i="6" s="1"/>
  <c r="E105" i="6" s="1"/>
  <c r="H105" i="6" s="1"/>
  <c r="B104" i="6"/>
  <c r="C104" i="6" s="1"/>
  <c r="E103" i="6"/>
  <c r="H103" i="6" s="1"/>
  <c r="D103" i="6"/>
  <c r="B103" i="6"/>
  <c r="C103" i="6" s="1"/>
  <c r="D102" i="6"/>
  <c r="E102" i="6" s="1"/>
  <c r="H102" i="6" s="1"/>
  <c r="C102" i="6"/>
  <c r="B102" i="6"/>
  <c r="D101" i="6"/>
  <c r="E101" i="6" s="1"/>
  <c r="H101" i="6" s="1"/>
  <c r="B101" i="6"/>
  <c r="C101" i="6" s="1"/>
  <c r="C100" i="6"/>
  <c r="D100" i="6" s="1"/>
  <c r="E100" i="6" s="1"/>
  <c r="H100" i="6" s="1"/>
  <c r="B100" i="6"/>
  <c r="B99" i="6"/>
  <c r="C99" i="6" s="1"/>
  <c r="B98" i="6"/>
  <c r="B97" i="6"/>
  <c r="C97" i="6" s="1"/>
  <c r="D97" i="6" s="1"/>
  <c r="E97" i="6" s="1"/>
  <c r="H97" i="6" s="1"/>
  <c r="B96" i="6"/>
  <c r="C96" i="6" s="1"/>
  <c r="E95" i="6"/>
  <c r="H95" i="6" s="1"/>
  <c r="D95" i="6"/>
  <c r="B95" i="6"/>
  <c r="C95" i="6" s="1"/>
  <c r="D94" i="6"/>
  <c r="E94" i="6" s="1"/>
  <c r="H94" i="6" s="1"/>
  <c r="C94" i="6"/>
  <c r="B94" i="6"/>
  <c r="D93" i="6"/>
  <c r="E93" i="6" s="1"/>
  <c r="H93" i="6" s="1"/>
  <c r="B93" i="6"/>
  <c r="C93" i="6" s="1"/>
  <c r="C92" i="6"/>
  <c r="B92" i="6"/>
  <c r="B91" i="6"/>
  <c r="B90" i="6"/>
  <c r="B89" i="6"/>
  <c r="C89" i="6" s="1"/>
  <c r="D89" i="6" s="1"/>
  <c r="E89" i="6" s="1"/>
  <c r="H89" i="6" s="1"/>
  <c r="B88" i="6"/>
  <c r="C88" i="6" s="1"/>
  <c r="E87" i="6"/>
  <c r="H87" i="6" s="1"/>
  <c r="D87" i="6"/>
  <c r="B87" i="6"/>
  <c r="C87" i="6" s="1"/>
  <c r="D86" i="6"/>
  <c r="E86" i="6" s="1"/>
  <c r="H86" i="6" s="1"/>
  <c r="C86" i="6"/>
  <c r="B86" i="6"/>
  <c r="D85" i="6"/>
  <c r="E85" i="6" s="1"/>
  <c r="H85" i="6" s="1"/>
  <c r="B85" i="6"/>
  <c r="C85" i="6" s="1"/>
  <c r="C84" i="6"/>
  <c r="B84" i="6"/>
  <c r="B83" i="6"/>
  <c r="B82" i="6"/>
  <c r="B81" i="6"/>
  <c r="C81" i="6" s="1"/>
  <c r="D81" i="6" s="1"/>
  <c r="E81" i="6" s="1"/>
  <c r="H81" i="6" s="1"/>
  <c r="B80" i="6"/>
  <c r="C80" i="6" s="1"/>
  <c r="E79" i="6"/>
  <c r="H79" i="6" s="1"/>
  <c r="D79" i="6"/>
  <c r="B79" i="6"/>
  <c r="C79" i="6" s="1"/>
  <c r="D78" i="6"/>
  <c r="E78" i="6" s="1"/>
  <c r="H78" i="6" s="1"/>
  <c r="C78" i="6"/>
  <c r="B78" i="6"/>
  <c r="D77" i="6"/>
  <c r="E77" i="6" s="1"/>
  <c r="H77" i="6" s="1"/>
  <c r="B77" i="6"/>
  <c r="C77" i="6" s="1"/>
  <c r="C76" i="6"/>
  <c r="B76" i="6"/>
  <c r="B75" i="6"/>
  <c r="B74" i="6"/>
  <c r="B73" i="6"/>
  <c r="C73" i="6" s="1"/>
  <c r="D73" i="6" s="1"/>
  <c r="E73" i="6" s="1"/>
  <c r="H73" i="6" s="1"/>
  <c r="B72" i="6"/>
  <c r="C72" i="6" s="1"/>
  <c r="E71" i="6"/>
  <c r="H71" i="6" s="1"/>
  <c r="D71" i="6"/>
  <c r="B71" i="6"/>
  <c r="C71" i="6" s="1"/>
  <c r="D70" i="6"/>
  <c r="E70" i="6" s="1"/>
  <c r="H70" i="6" s="1"/>
  <c r="C70" i="6"/>
  <c r="B70" i="6"/>
  <c r="D69" i="6"/>
  <c r="E69" i="6" s="1"/>
  <c r="H69" i="6" s="1"/>
  <c r="B69" i="6"/>
  <c r="C69" i="6" s="1"/>
  <c r="C68" i="6"/>
  <c r="B68" i="6"/>
  <c r="B67" i="6"/>
  <c r="C66" i="6"/>
  <c r="D66" i="6" s="1"/>
  <c r="E66" i="6" s="1"/>
  <c r="H66" i="6" s="1"/>
  <c r="B66" i="6"/>
  <c r="B65" i="6"/>
  <c r="C64" i="6"/>
  <c r="D64" i="6" s="1"/>
  <c r="E64" i="6" s="1"/>
  <c r="H64" i="6" s="1"/>
  <c r="B64" i="6"/>
  <c r="B63" i="6"/>
  <c r="C62" i="6"/>
  <c r="D62" i="6" s="1"/>
  <c r="E62" i="6" s="1"/>
  <c r="H62" i="6" s="1"/>
  <c r="B62" i="6"/>
  <c r="B61" i="6"/>
  <c r="C60" i="6"/>
  <c r="D60" i="6" s="1"/>
  <c r="E60" i="6" s="1"/>
  <c r="H60" i="6" s="1"/>
  <c r="B60" i="6"/>
  <c r="B59" i="6"/>
  <c r="C58" i="6"/>
  <c r="D58" i="6" s="1"/>
  <c r="E58" i="6" s="1"/>
  <c r="H58" i="6" s="1"/>
  <c r="B58" i="6"/>
  <c r="B57" i="6"/>
  <c r="C56" i="6"/>
  <c r="D56" i="6" s="1"/>
  <c r="E56" i="6" s="1"/>
  <c r="H56" i="6" s="1"/>
  <c r="B56" i="6"/>
  <c r="B55" i="6"/>
  <c r="C54" i="6"/>
  <c r="D54" i="6" s="1"/>
  <c r="E54" i="6" s="1"/>
  <c r="H54" i="6" s="1"/>
  <c r="B54" i="6"/>
  <c r="B53" i="6"/>
  <c r="C52" i="6"/>
  <c r="D52" i="6" s="1"/>
  <c r="E52" i="6" s="1"/>
  <c r="H52" i="6" s="1"/>
  <c r="B52" i="6"/>
  <c r="B51" i="6"/>
  <c r="C50" i="6"/>
  <c r="D50" i="6" s="1"/>
  <c r="E50" i="6" s="1"/>
  <c r="H50" i="6" s="1"/>
  <c r="B50" i="6"/>
  <c r="B49" i="6"/>
  <c r="C48" i="6"/>
  <c r="D48" i="6" s="1"/>
  <c r="E48" i="6" s="1"/>
  <c r="H48" i="6" s="1"/>
  <c r="B48" i="6"/>
  <c r="B47" i="6"/>
  <c r="D46" i="6"/>
  <c r="E46" i="6" s="1"/>
  <c r="H46" i="6" s="1"/>
  <c r="C46" i="6"/>
  <c r="B46" i="6"/>
  <c r="B45" i="6"/>
  <c r="C45" i="6" s="1"/>
  <c r="D44" i="6"/>
  <c r="E44" i="6" s="1"/>
  <c r="H44" i="6" s="1"/>
  <c r="C44" i="6"/>
  <c r="B44" i="6"/>
  <c r="B43" i="6"/>
  <c r="C43" i="6" s="1"/>
  <c r="C42" i="6"/>
  <c r="B42" i="6"/>
  <c r="B41" i="6"/>
  <c r="C41" i="6" s="1"/>
  <c r="H40" i="6"/>
  <c r="D40" i="6"/>
  <c r="E40" i="6" s="1"/>
  <c r="C40" i="6"/>
  <c r="B40" i="6"/>
  <c r="B39" i="6"/>
  <c r="C39" i="6" s="1"/>
  <c r="D38" i="6"/>
  <c r="E38" i="6" s="1"/>
  <c r="H38" i="6" s="1"/>
  <c r="C38" i="6"/>
  <c r="B38" i="6"/>
  <c r="B37" i="6"/>
  <c r="C37" i="6" s="1"/>
  <c r="D36" i="6"/>
  <c r="E36" i="6" s="1"/>
  <c r="H36" i="6" s="1"/>
  <c r="C36" i="6"/>
  <c r="B36" i="6"/>
  <c r="B35" i="6"/>
  <c r="C35" i="6" s="1"/>
  <c r="C34" i="6"/>
  <c r="B34" i="6"/>
  <c r="B33" i="6"/>
  <c r="C33" i="6" s="1"/>
  <c r="C32" i="6"/>
  <c r="D32" i="6" s="1"/>
  <c r="B32" i="6"/>
  <c r="B31" i="6"/>
  <c r="C31" i="6" s="1"/>
  <c r="D30" i="6"/>
  <c r="E30" i="6" s="1"/>
  <c r="H30" i="6" s="1"/>
  <c r="C30" i="6"/>
  <c r="B30" i="6"/>
  <c r="B29" i="6"/>
  <c r="C29" i="6" s="1"/>
  <c r="D28" i="6"/>
  <c r="E28" i="6" s="1"/>
  <c r="H28" i="6" s="1"/>
  <c r="C28" i="6"/>
  <c r="B28" i="6"/>
  <c r="B27" i="6"/>
  <c r="C26" i="6"/>
  <c r="D26" i="6" s="1"/>
  <c r="E26" i="6" s="1"/>
  <c r="H26" i="6" s="1"/>
  <c r="B26" i="6"/>
  <c r="B25" i="6"/>
  <c r="C24" i="6"/>
  <c r="D24" i="6" s="1"/>
  <c r="E24" i="6" s="1"/>
  <c r="H24" i="6" s="1"/>
  <c r="B24" i="6"/>
  <c r="H23" i="6"/>
  <c r="E23" i="6"/>
  <c r="D23" i="6"/>
  <c r="C23" i="6"/>
  <c r="B23" i="6"/>
  <c r="C22" i="6"/>
  <c r="D22" i="6" s="1"/>
  <c r="E22" i="6" s="1"/>
  <c r="H22" i="6" s="1"/>
  <c r="B22" i="6"/>
  <c r="H21" i="6"/>
  <c r="E21" i="6"/>
  <c r="D21" i="6"/>
  <c r="C21" i="6"/>
  <c r="B21" i="6"/>
  <c r="C20" i="6"/>
  <c r="D20" i="6" s="1"/>
  <c r="E20" i="6" s="1"/>
  <c r="H20" i="6" s="1"/>
  <c r="B20" i="6"/>
  <c r="H19" i="6"/>
  <c r="E19" i="6"/>
  <c r="D19" i="6"/>
  <c r="C19" i="6"/>
  <c r="B19" i="6"/>
  <c r="C18" i="6"/>
  <c r="D18" i="6" s="1"/>
  <c r="E18" i="6" s="1"/>
  <c r="H18" i="6" s="1"/>
  <c r="B18" i="6"/>
  <c r="H17" i="6"/>
  <c r="E17" i="6"/>
  <c r="D17" i="6"/>
  <c r="C17" i="6"/>
  <c r="B17" i="6"/>
  <c r="C16" i="6"/>
  <c r="D16" i="6" s="1"/>
  <c r="E16" i="6" s="1"/>
  <c r="H16" i="6" s="1"/>
  <c r="B16" i="6"/>
  <c r="H15" i="6"/>
  <c r="E15" i="6"/>
  <c r="D15" i="6"/>
  <c r="C15" i="6"/>
  <c r="B15" i="6"/>
  <c r="C14" i="6"/>
  <c r="D14" i="6" s="1"/>
  <c r="E14" i="6" s="1"/>
  <c r="H14" i="6" s="1"/>
  <c r="B14" i="6"/>
  <c r="H13" i="6"/>
  <c r="E13" i="6"/>
  <c r="D13" i="6"/>
  <c r="C13" i="6"/>
  <c r="B13" i="6"/>
  <c r="C12" i="6"/>
  <c r="D12" i="6" s="1"/>
  <c r="E12" i="6" s="1"/>
  <c r="H12" i="6" s="1"/>
  <c r="B12" i="6"/>
  <c r="H11" i="6"/>
  <c r="E11" i="6"/>
  <c r="D11" i="6"/>
  <c r="C11" i="6"/>
  <c r="B11" i="6"/>
  <c r="C10" i="6"/>
  <c r="D10" i="6" s="1"/>
  <c r="E10" i="6" s="1"/>
  <c r="H10" i="6" s="1"/>
  <c r="B10" i="6"/>
  <c r="H9" i="6"/>
  <c r="E9" i="6"/>
  <c r="D9" i="6"/>
  <c r="C9" i="6"/>
  <c r="B9" i="6"/>
  <c r="C8" i="6"/>
  <c r="D8" i="6" s="1"/>
  <c r="E8" i="6" s="1"/>
  <c r="H8" i="6" s="1"/>
  <c r="B8" i="6"/>
  <c r="H7" i="6"/>
  <c r="E7" i="6"/>
  <c r="D7" i="6"/>
  <c r="C7" i="6"/>
  <c r="B7" i="6"/>
  <c r="C6" i="6"/>
  <c r="D6" i="6" s="1"/>
  <c r="E6" i="6" s="1"/>
  <c r="H6" i="6" s="1"/>
  <c r="B6" i="6"/>
  <c r="H5" i="6"/>
  <c r="E5" i="6"/>
  <c r="D5" i="6"/>
  <c r="C5" i="6"/>
  <c r="B5" i="6"/>
  <c r="C4" i="6"/>
  <c r="D4" i="6" s="1"/>
  <c r="E4" i="6" s="1"/>
  <c r="H4" i="6" s="1"/>
  <c r="B4" i="6"/>
  <c r="C3" i="6"/>
  <c r="B3" i="6"/>
  <c r="B2" i="6"/>
  <c r="C2" i="6" s="1"/>
  <c r="D2" i="6" s="1"/>
  <c r="E2" i="6" s="1"/>
  <c r="H2" i="6" s="1"/>
  <c r="B57" i="1"/>
  <c r="C57" i="1" s="1"/>
  <c r="D57" i="1" s="1"/>
  <c r="E57" i="1" s="1"/>
  <c r="H57" i="1" s="1"/>
  <c r="B58" i="1"/>
  <c r="B59" i="1"/>
  <c r="B60" i="1"/>
  <c r="B61" i="1"/>
  <c r="C61" i="1" s="1"/>
  <c r="D61" i="1" s="1"/>
  <c r="G61" i="1" s="1"/>
  <c r="B62" i="1"/>
  <c r="C62" i="1" s="1"/>
  <c r="D62" i="1" s="1"/>
  <c r="E62" i="1" s="1"/>
  <c r="H62" i="1" s="1"/>
  <c r="B63" i="1"/>
  <c r="C63" i="1" s="1"/>
  <c r="F63" i="1" s="1"/>
  <c r="B64" i="1"/>
  <c r="B65" i="1"/>
  <c r="C65" i="1" s="1"/>
  <c r="F65" i="1" s="1"/>
  <c r="B66" i="1"/>
  <c r="C66" i="1" s="1"/>
  <c r="B67" i="1"/>
  <c r="C67" i="1" s="1"/>
  <c r="D67" i="1" s="1"/>
  <c r="B68" i="1"/>
  <c r="B69" i="1"/>
  <c r="C69" i="1" s="1"/>
  <c r="D69" i="1" s="1"/>
  <c r="E69" i="1" s="1"/>
  <c r="H69" i="1" s="1"/>
  <c r="B70" i="1"/>
  <c r="C70" i="1" s="1"/>
  <c r="B71" i="1"/>
  <c r="C71" i="1" s="1"/>
  <c r="B72" i="1"/>
  <c r="B73" i="1"/>
  <c r="C73" i="1" s="1"/>
  <c r="B74" i="1"/>
  <c r="C74" i="1" s="1"/>
  <c r="D74" i="1" s="1"/>
  <c r="E74" i="1" s="1"/>
  <c r="H74" i="1" s="1"/>
  <c r="B75" i="1"/>
  <c r="C75" i="1" s="1"/>
  <c r="B76" i="1"/>
  <c r="B77" i="1"/>
  <c r="C77" i="1" s="1"/>
  <c r="D77" i="1" s="1"/>
  <c r="G77" i="1" s="1"/>
  <c r="B78" i="1"/>
  <c r="C78" i="1" s="1"/>
  <c r="F78" i="1" s="1"/>
  <c r="B79" i="1"/>
  <c r="C79" i="1" s="1"/>
  <c r="F79" i="1" s="1"/>
  <c r="B80" i="1"/>
  <c r="B81" i="1"/>
  <c r="C81" i="1" s="1"/>
  <c r="B82" i="1"/>
  <c r="C82" i="1" s="1"/>
  <c r="D82" i="1" s="1"/>
  <c r="B83" i="1"/>
  <c r="C83" i="1" s="1"/>
  <c r="D83" i="1" s="1"/>
  <c r="B84" i="1"/>
  <c r="B85" i="1"/>
  <c r="C85" i="1" s="1"/>
  <c r="B86" i="1"/>
  <c r="C86" i="1" s="1"/>
  <c r="B87" i="1"/>
  <c r="C87" i="1" s="1"/>
  <c r="D87" i="1" s="1"/>
  <c r="B88" i="1"/>
  <c r="B89" i="1"/>
  <c r="C89" i="1" s="1"/>
  <c r="B90" i="1"/>
  <c r="C90" i="1" s="1"/>
  <c r="F90" i="1" s="1"/>
  <c r="B91" i="1"/>
  <c r="C91" i="1" s="1"/>
  <c r="B92" i="1"/>
  <c r="B93" i="1"/>
  <c r="C93" i="1" s="1"/>
  <c r="D93" i="1" s="1"/>
  <c r="B94" i="1"/>
  <c r="C94" i="1" s="1"/>
  <c r="D94" i="1" s="1"/>
  <c r="E94" i="1" s="1"/>
  <c r="H94" i="1" s="1"/>
  <c r="B95" i="1"/>
  <c r="C95" i="1" s="1"/>
  <c r="F95" i="1" s="1"/>
  <c r="B96" i="1"/>
  <c r="B97" i="1"/>
  <c r="C97" i="1" s="1"/>
  <c r="D97" i="1" s="1"/>
  <c r="E97" i="1" s="1"/>
  <c r="H97" i="1" s="1"/>
  <c r="B98" i="1"/>
  <c r="C98" i="1" s="1"/>
  <c r="D98" i="1" s="1"/>
  <c r="E98" i="1" s="1"/>
  <c r="H98" i="1" s="1"/>
  <c r="B99" i="1"/>
  <c r="C99" i="1" s="1"/>
  <c r="D99" i="1" s="1"/>
  <c r="B100" i="1"/>
  <c r="B101" i="1"/>
  <c r="C101" i="1" s="1"/>
  <c r="D101" i="1" s="1"/>
  <c r="B102" i="1"/>
  <c r="C102" i="1" s="1"/>
  <c r="B103" i="1"/>
  <c r="C103" i="1" s="1"/>
  <c r="D103" i="1" s="1"/>
  <c r="B104" i="1"/>
  <c r="B105" i="1"/>
  <c r="C105" i="1" s="1"/>
  <c r="D105" i="1" s="1"/>
  <c r="E105" i="1" s="1"/>
  <c r="H105" i="1" s="1"/>
  <c r="B106" i="1"/>
  <c r="C106" i="1" s="1"/>
  <c r="F106" i="1" s="1"/>
  <c r="B107" i="1"/>
  <c r="C107" i="1" s="1"/>
  <c r="B108" i="1"/>
  <c r="B109" i="1"/>
  <c r="C109" i="1" s="1"/>
  <c r="D109" i="1" s="1"/>
  <c r="B110" i="1"/>
  <c r="C110" i="1" s="1"/>
  <c r="D110" i="1" s="1"/>
  <c r="G110" i="1" s="1"/>
  <c r="B111" i="1"/>
  <c r="C111" i="1" s="1"/>
  <c r="F111" i="1" s="1"/>
  <c r="B112" i="1"/>
  <c r="B113" i="1"/>
  <c r="C113" i="1" s="1"/>
  <c r="B114" i="1"/>
  <c r="C114" i="1" s="1"/>
  <c r="F114" i="1" s="1"/>
  <c r="B115" i="1"/>
  <c r="C115" i="1" s="1"/>
  <c r="D115" i="1" s="1"/>
  <c r="E115" i="1" s="1"/>
  <c r="H115" i="1" s="1"/>
  <c r="B116" i="1"/>
  <c r="B117" i="1"/>
  <c r="C117" i="1" s="1"/>
  <c r="B118" i="1"/>
  <c r="C118" i="1" s="1"/>
  <c r="B119" i="1"/>
  <c r="C119" i="1" s="1"/>
  <c r="B120" i="1"/>
  <c r="B121" i="1"/>
  <c r="C121" i="1" s="1"/>
  <c r="D121" i="1" s="1"/>
  <c r="E121" i="1" s="1"/>
  <c r="H121" i="1" s="1"/>
  <c r="B122" i="1"/>
  <c r="C122" i="1" s="1"/>
  <c r="D122" i="1" s="1"/>
  <c r="E122" i="1" s="1"/>
  <c r="H122" i="1" s="1"/>
  <c r="B123" i="1"/>
  <c r="C123" i="1" s="1"/>
  <c r="B124" i="1"/>
  <c r="B125" i="1"/>
  <c r="C125" i="1" s="1"/>
  <c r="D125" i="1" s="1"/>
  <c r="E125" i="1" s="1"/>
  <c r="H125" i="1" s="1"/>
  <c r="B126" i="1"/>
  <c r="C126" i="1" s="1"/>
  <c r="D126" i="1" s="1"/>
  <c r="B127" i="1"/>
  <c r="C127" i="1" s="1"/>
  <c r="F127" i="1" s="1"/>
  <c r="B128" i="1"/>
  <c r="B129" i="1"/>
  <c r="C129" i="1" s="1"/>
  <c r="B130" i="1"/>
  <c r="C130" i="1" s="1"/>
  <c r="D130" i="1" s="1"/>
  <c r="E130" i="1" s="1"/>
  <c r="H130" i="1" s="1"/>
  <c r="B131" i="1"/>
  <c r="C131" i="1" s="1"/>
  <c r="D131" i="1" s="1"/>
  <c r="B132" i="1"/>
  <c r="B133" i="1"/>
  <c r="B134" i="1"/>
  <c r="C134" i="1" s="1"/>
  <c r="B135" i="1"/>
  <c r="C135" i="1" s="1"/>
  <c r="B136" i="1"/>
  <c r="B137" i="1"/>
  <c r="C137" i="1" s="1"/>
  <c r="B138" i="1"/>
  <c r="C138" i="1" s="1"/>
  <c r="D138" i="1" s="1"/>
  <c r="E138" i="1" s="1"/>
  <c r="H138" i="1" s="1"/>
  <c r="B139" i="1"/>
  <c r="C139" i="1" s="1"/>
  <c r="B140" i="1"/>
  <c r="B141" i="1"/>
  <c r="C141" i="1" s="1"/>
  <c r="D141" i="1" s="1"/>
  <c r="B142" i="1"/>
  <c r="C142" i="1" s="1"/>
  <c r="D142" i="1" s="1"/>
  <c r="E142" i="1" s="1"/>
  <c r="H142" i="1" s="1"/>
  <c r="B143" i="1"/>
  <c r="C143" i="1" s="1"/>
  <c r="F143" i="1" s="1"/>
  <c r="B144" i="1"/>
  <c r="B145" i="1"/>
  <c r="B146" i="1"/>
  <c r="C146" i="1" s="1"/>
  <c r="F146" i="1" s="1"/>
  <c r="B147" i="1"/>
  <c r="C147" i="1" s="1"/>
  <c r="D147" i="1" s="1"/>
  <c r="B148" i="1"/>
  <c r="B149" i="1"/>
  <c r="C149" i="1" s="1"/>
  <c r="B150" i="1"/>
  <c r="C150" i="1" s="1"/>
  <c r="B151" i="1"/>
  <c r="C151" i="1" s="1"/>
  <c r="D151" i="1" s="1"/>
  <c r="B152" i="1"/>
  <c r="B153" i="1"/>
  <c r="C153" i="1" s="1"/>
  <c r="D153" i="1" s="1"/>
  <c r="E153" i="1" s="1"/>
  <c r="H153" i="1" s="1"/>
  <c r="B154" i="1"/>
  <c r="C154" i="1" s="1"/>
  <c r="F154" i="1" s="1"/>
  <c r="B155" i="1"/>
  <c r="C155" i="1" s="1"/>
  <c r="B156" i="1"/>
  <c r="B157" i="1"/>
  <c r="B158" i="1"/>
  <c r="C158" i="1" s="1"/>
  <c r="F158" i="1" s="1"/>
  <c r="B159" i="1"/>
  <c r="C159" i="1" s="1"/>
  <c r="F159" i="1" s="1"/>
  <c r="B160" i="1"/>
  <c r="B161" i="1"/>
  <c r="C161" i="1" s="1"/>
  <c r="D161" i="1" s="1"/>
  <c r="E161" i="1" s="1"/>
  <c r="H161" i="1" s="1"/>
  <c r="B162" i="1"/>
  <c r="C162" i="1" s="1"/>
  <c r="D162" i="1" s="1"/>
  <c r="E162" i="1" s="1"/>
  <c r="H162" i="1" s="1"/>
  <c r="B163" i="1"/>
  <c r="C163" i="1" s="1"/>
  <c r="D163" i="1" s="1"/>
  <c r="B164" i="1"/>
  <c r="B165" i="1"/>
  <c r="C165" i="1" s="1"/>
  <c r="D165" i="1" s="1"/>
  <c r="B166" i="1"/>
  <c r="C166" i="1" s="1"/>
  <c r="B167" i="1"/>
  <c r="C167" i="1" s="1"/>
  <c r="B168" i="1"/>
  <c r="B169" i="1"/>
  <c r="C169" i="1" s="1"/>
  <c r="D169" i="1" s="1"/>
  <c r="E169" i="1" s="1"/>
  <c r="H169" i="1" s="1"/>
  <c r="B170" i="1"/>
  <c r="C170" i="1" s="1"/>
  <c r="F170" i="1" s="1"/>
  <c r="B171" i="1"/>
  <c r="C171" i="1" s="1"/>
  <c r="B172" i="1"/>
  <c r="B173" i="1"/>
  <c r="C173" i="1" s="1"/>
  <c r="D173" i="1" s="1"/>
  <c r="B174" i="1"/>
  <c r="C174" i="1" s="1"/>
  <c r="D174" i="1" s="1"/>
  <c r="G174" i="1" s="1"/>
  <c r="B175" i="1"/>
  <c r="C175" i="1" s="1"/>
  <c r="F175" i="1" s="1"/>
  <c r="B176" i="1"/>
  <c r="B177" i="1"/>
  <c r="C177" i="1" s="1"/>
  <c r="B178" i="1"/>
  <c r="C178" i="1" s="1"/>
  <c r="D178" i="1" s="1"/>
  <c r="B179" i="1"/>
  <c r="C179" i="1" s="1"/>
  <c r="D179" i="1" s="1"/>
  <c r="E179" i="1" s="1"/>
  <c r="H179" i="1" s="1"/>
  <c r="B180" i="1"/>
  <c r="B181" i="1"/>
  <c r="C181" i="1" s="1"/>
  <c r="B182" i="1"/>
  <c r="C182" i="1" s="1"/>
  <c r="B183" i="1"/>
  <c r="C183" i="1" s="1"/>
  <c r="B184" i="1"/>
  <c r="B185" i="1"/>
  <c r="C185" i="1" s="1"/>
  <c r="D185" i="1" s="1"/>
  <c r="E185" i="1" s="1"/>
  <c r="H185" i="1" s="1"/>
  <c r="B186" i="1"/>
  <c r="C186" i="1" s="1"/>
  <c r="D186" i="1" s="1"/>
  <c r="E186" i="1" s="1"/>
  <c r="H186" i="1" s="1"/>
  <c r="B187" i="1"/>
  <c r="C187" i="1" s="1"/>
  <c r="B188" i="1"/>
  <c r="B189" i="1"/>
  <c r="C189" i="1" s="1"/>
  <c r="D189" i="1" s="1"/>
  <c r="B190" i="1"/>
  <c r="C190" i="1" s="1"/>
  <c r="D190" i="1" s="1"/>
  <c r="B191" i="1"/>
  <c r="C191" i="1" s="1"/>
  <c r="F191" i="1" s="1"/>
  <c r="B192" i="1"/>
  <c r="B193" i="1"/>
  <c r="C193" i="1" s="1"/>
  <c r="B194" i="1"/>
  <c r="C194" i="1" s="1"/>
  <c r="D194" i="1" s="1"/>
  <c r="E194" i="1" s="1"/>
  <c r="H194" i="1" s="1"/>
  <c r="B195" i="1"/>
  <c r="C195" i="1" s="1"/>
  <c r="D195" i="1" s="1"/>
  <c r="E195" i="1" s="1"/>
  <c r="H195" i="1" s="1"/>
  <c r="B196" i="1"/>
  <c r="B197" i="1"/>
  <c r="C197" i="1" s="1"/>
  <c r="B198" i="1"/>
  <c r="C198" i="1" s="1"/>
  <c r="B199" i="1"/>
  <c r="C199" i="1" s="1"/>
  <c r="D199" i="1" s="1"/>
  <c r="B200" i="1"/>
  <c r="B201" i="1"/>
  <c r="C201" i="1" s="1"/>
  <c r="D201" i="1" s="1"/>
  <c r="E201" i="1" s="1"/>
  <c r="H201" i="1" s="1"/>
  <c r="B202" i="1"/>
  <c r="C202" i="1" s="1"/>
  <c r="B203" i="1"/>
  <c r="C203" i="1" s="1"/>
  <c r="B204" i="1"/>
  <c r="B205" i="1"/>
  <c r="C205" i="1" s="1"/>
  <c r="D205" i="1" s="1"/>
  <c r="G205" i="1" s="1"/>
  <c r="B206" i="1"/>
  <c r="C206" i="1" s="1"/>
  <c r="D206" i="1" s="1"/>
  <c r="E206" i="1" s="1"/>
  <c r="H206" i="1" s="1"/>
  <c r="B207" i="1"/>
  <c r="C207" i="1" s="1"/>
  <c r="B208" i="1"/>
  <c r="B209" i="1"/>
  <c r="C209" i="1" s="1"/>
  <c r="B210" i="1"/>
  <c r="C210" i="1" s="1"/>
  <c r="D210" i="1" s="1"/>
  <c r="B211" i="1"/>
  <c r="C211" i="1" s="1"/>
  <c r="D211" i="1" s="1"/>
  <c r="E211" i="1" s="1"/>
  <c r="H211" i="1" s="1"/>
  <c r="B212" i="1"/>
  <c r="B213" i="1"/>
  <c r="C213" i="1" s="1"/>
  <c r="B214" i="1"/>
  <c r="C214" i="1" s="1"/>
  <c r="B215" i="1"/>
  <c r="C215" i="1" s="1"/>
  <c r="B216" i="1"/>
  <c r="B217" i="1"/>
  <c r="C217" i="1" s="1"/>
  <c r="D217" i="1" s="1"/>
  <c r="E217" i="1" s="1"/>
  <c r="H217" i="1" s="1"/>
  <c r="B218" i="1"/>
  <c r="C218" i="1" s="1"/>
  <c r="F218" i="1" s="1"/>
  <c r="B219" i="1"/>
  <c r="C219" i="1" s="1"/>
  <c r="B220" i="1"/>
  <c r="B221" i="1"/>
  <c r="C221" i="1" s="1"/>
  <c r="D221" i="1" s="1"/>
  <c r="B222" i="1"/>
  <c r="C222" i="1" s="1"/>
  <c r="D222" i="1" s="1"/>
  <c r="G222" i="1" s="1"/>
  <c r="B223" i="1"/>
  <c r="C223" i="1" s="1"/>
  <c r="F223" i="1" s="1"/>
  <c r="B224" i="1"/>
  <c r="B225" i="1"/>
  <c r="C225" i="1" s="1"/>
  <c r="B226" i="1"/>
  <c r="C226" i="1" s="1"/>
  <c r="D226" i="1" s="1"/>
  <c r="G226" i="1" s="1"/>
  <c r="B227" i="1"/>
  <c r="C227" i="1" s="1"/>
  <c r="D227" i="1" s="1"/>
  <c r="E227" i="1" s="1"/>
  <c r="H227" i="1" s="1"/>
  <c r="B228" i="1"/>
  <c r="B229" i="1"/>
  <c r="C229" i="1" s="1"/>
  <c r="B230" i="1"/>
  <c r="C230" i="1" s="1"/>
  <c r="B231" i="1"/>
  <c r="C231" i="1" s="1"/>
  <c r="B232" i="1"/>
  <c r="B233" i="1"/>
  <c r="C233" i="1" s="1"/>
  <c r="D233" i="1" s="1"/>
  <c r="E233" i="1" s="1"/>
  <c r="H233" i="1" s="1"/>
  <c r="B234" i="1"/>
  <c r="C234" i="1" s="1"/>
  <c r="B235" i="1"/>
  <c r="C235" i="1" s="1"/>
  <c r="F235" i="1" s="1"/>
  <c r="B236" i="1"/>
  <c r="B237" i="1"/>
  <c r="C237" i="1" s="1"/>
  <c r="D237" i="1" s="1"/>
  <c r="E237" i="1" s="1"/>
  <c r="H237" i="1" s="1"/>
  <c r="B238" i="1"/>
  <c r="C238" i="1" s="1"/>
  <c r="D238" i="1" s="1"/>
  <c r="E238" i="1" s="1"/>
  <c r="H238" i="1" s="1"/>
  <c r="B239" i="1"/>
  <c r="C239" i="1" s="1"/>
  <c r="B240" i="1"/>
  <c r="B241" i="1"/>
  <c r="C241" i="1" s="1"/>
  <c r="B242" i="1"/>
  <c r="C242" i="1" s="1"/>
  <c r="F242" i="1" s="1"/>
  <c r="B243" i="1"/>
  <c r="C243" i="1" s="1"/>
  <c r="D243" i="1" s="1"/>
  <c r="E243" i="1" s="1"/>
  <c r="H243" i="1" s="1"/>
  <c r="B244" i="1"/>
  <c r="B245" i="1"/>
  <c r="C245" i="1" s="1"/>
  <c r="B246" i="1"/>
  <c r="C246" i="1" s="1"/>
  <c r="B247" i="1"/>
  <c r="C247" i="1" s="1"/>
  <c r="B248" i="1"/>
  <c r="B249" i="1"/>
  <c r="C249" i="1" s="1"/>
  <c r="D249" i="1" s="1"/>
  <c r="E249" i="1" s="1"/>
  <c r="H249" i="1" s="1"/>
  <c r="B250" i="1"/>
  <c r="C250" i="1" s="1"/>
  <c r="F250" i="1" s="1"/>
  <c r="B251" i="1"/>
  <c r="C251" i="1" s="1"/>
  <c r="B252" i="1"/>
  <c r="B253" i="1"/>
  <c r="C253" i="1" s="1"/>
  <c r="D253" i="1" s="1"/>
  <c r="E253" i="1" s="1"/>
  <c r="H253" i="1" s="1"/>
  <c r="B254" i="1"/>
  <c r="C254" i="1" s="1"/>
  <c r="F254" i="1" s="1"/>
  <c r="B255" i="1"/>
  <c r="C255" i="1" s="1"/>
  <c r="B256" i="1"/>
  <c r="B257" i="1"/>
  <c r="C257" i="1" s="1"/>
  <c r="B258" i="1"/>
  <c r="C258" i="1" s="1"/>
  <c r="D258" i="1" s="1"/>
  <c r="E258" i="1" s="1"/>
  <c r="H258" i="1" s="1"/>
  <c r="B259" i="1"/>
  <c r="B260" i="1"/>
  <c r="B261" i="1"/>
  <c r="C261" i="1" s="1"/>
  <c r="D261" i="1" s="1"/>
  <c r="E261" i="1" s="1"/>
  <c r="H261" i="1" s="1"/>
  <c r="B262" i="1"/>
  <c r="C262" i="1" s="1"/>
  <c r="B263" i="1"/>
  <c r="B264" i="1"/>
  <c r="B265" i="1"/>
  <c r="C265" i="1" s="1"/>
  <c r="F265" i="1" s="1"/>
  <c r="B266" i="1"/>
  <c r="C266" i="1" s="1"/>
  <c r="D266" i="1" s="1"/>
  <c r="B267" i="1"/>
  <c r="C267" i="1" s="1"/>
  <c r="B268" i="1"/>
  <c r="B269" i="1"/>
  <c r="C269" i="1" s="1"/>
  <c r="D269" i="1" s="1"/>
  <c r="B270" i="1"/>
  <c r="C270" i="1" s="1"/>
  <c r="D270" i="1" s="1"/>
  <c r="G270" i="1" s="1"/>
  <c r="B271" i="1"/>
  <c r="C271" i="1" s="1"/>
  <c r="B272" i="1"/>
  <c r="B273" i="1"/>
  <c r="C273" i="1" s="1"/>
  <c r="B274" i="1"/>
  <c r="C274" i="1" s="1"/>
  <c r="F274" i="1" s="1"/>
  <c r="B275" i="1"/>
  <c r="B276" i="1"/>
  <c r="B277" i="1"/>
  <c r="C277" i="1" s="1"/>
  <c r="D277" i="1" s="1"/>
  <c r="E277" i="1" s="1"/>
  <c r="H277" i="1" s="1"/>
  <c r="B278" i="1"/>
  <c r="C278" i="1" s="1"/>
  <c r="D278" i="1" s="1"/>
  <c r="B279" i="1"/>
  <c r="B280" i="1"/>
  <c r="B281" i="1"/>
  <c r="C281" i="1" s="1"/>
  <c r="B282" i="1"/>
  <c r="C282" i="1" s="1"/>
  <c r="D282" i="1" s="1"/>
  <c r="E282" i="1" s="1"/>
  <c r="H282" i="1" s="1"/>
  <c r="B283" i="1"/>
  <c r="C283" i="1" s="1"/>
  <c r="B284" i="1"/>
  <c r="B285" i="1"/>
  <c r="C285" i="1" s="1"/>
  <c r="D285" i="1" s="1"/>
  <c r="B286" i="1"/>
  <c r="C286" i="1" s="1"/>
  <c r="D286" i="1" s="1"/>
  <c r="B287" i="1"/>
  <c r="C287" i="1" s="1"/>
  <c r="B288" i="1"/>
  <c r="B289" i="1"/>
  <c r="C289" i="1" s="1"/>
  <c r="B290" i="1"/>
  <c r="C290" i="1" s="1"/>
  <c r="D290" i="1" s="1"/>
  <c r="E290" i="1" s="1"/>
  <c r="H290" i="1" s="1"/>
  <c r="B291" i="1"/>
  <c r="B292" i="1"/>
  <c r="B293" i="1"/>
  <c r="C293" i="1" s="1"/>
  <c r="D293" i="1" s="1"/>
  <c r="E293" i="1" s="1"/>
  <c r="H293" i="1" s="1"/>
  <c r="B294" i="1"/>
  <c r="C294" i="1" s="1"/>
  <c r="D294" i="1" s="1"/>
  <c r="E294" i="1" s="1"/>
  <c r="H294" i="1" s="1"/>
  <c r="B295" i="1"/>
  <c r="B296" i="1"/>
  <c r="B297" i="1"/>
  <c r="C297" i="1" s="1"/>
  <c r="B298" i="1"/>
  <c r="C298" i="1" s="1"/>
  <c r="F298" i="1" s="1"/>
  <c r="B299" i="1"/>
  <c r="C299" i="1" s="1"/>
  <c r="B300" i="1"/>
  <c r="B301" i="1"/>
  <c r="C301" i="1" s="1"/>
  <c r="D301" i="1" s="1"/>
  <c r="E301" i="1" s="1"/>
  <c r="H301" i="1" s="1"/>
  <c r="B302" i="1"/>
  <c r="C302" i="1" s="1"/>
  <c r="F302" i="1" s="1"/>
  <c r="B303" i="1"/>
  <c r="C303" i="1" s="1"/>
  <c r="B304" i="1"/>
  <c r="B305" i="1"/>
  <c r="C305" i="1" s="1"/>
  <c r="D305" i="1" s="1"/>
  <c r="E305" i="1" s="1"/>
  <c r="H305" i="1" s="1"/>
  <c r="B306" i="1"/>
  <c r="C306" i="1" s="1"/>
  <c r="D306" i="1" s="1"/>
  <c r="E306" i="1" s="1"/>
  <c r="H306" i="1" s="1"/>
  <c r="B307" i="1"/>
  <c r="B308" i="1"/>
  <c r="B309" i="1"/>
  <c r="C309" i="1" s="1"/>
  <c r="B310" i="1"/>
  <c r="C310" i="1" s="1"/>
  <c r="D310" i="1" s="1"/>
  <c r="E310" i="1" s="1"/>
  <c r="H310" i="1" s="1"/>
  <c r="B311" i="1"/>
  <c r="C311" i="1" s="1"/>
  <c r="D311" i="1" s="1"/>
  <c r="E311" i="1" s="1"/>
  <c r="H311" i="1" s="1"/>
  <c r="B312" i="1"/>
  <c r="B313" i="1"/>
  <c r="C313" i="1" s="1"/>
  <c r="B314" i="1"/>
  <c r="C314" i="1" s="1"/>
  <c r="D314" i="1" s="1"/>
  <c r="E314" i="1" s="1"/>
  <c r="H314" i="1" s="1"/>
  <c r="B315" i="1"/>
  <c r="C315" i="1" s="1"/>
  <c r="B316" i="1"/>
  <c r="B317" i="1"/>
  <c r="C317" i="1" s="1"/>
  <c r="D317" i="1" s="1"/>
  <c r="E317" i="1" s="1"/>
  <c r="H317" i="1" s="1"/>
  <c r="B318" i="1"/>
  <c r="C318" i="1" s="1"/>
  <c r="D318" i="1" s="1"/>
  <c r="E318" i="1" s="1"/>
  <c r="H318" i="1" s="1"/>
  <c r="B319" i="1"/>
  <c r="B320" i="1"/>
  <c r="B321" i="1"/>
  <c r="C321" i="1" s="1"/>
  <c r="B322" i="1"/>
  <c r="C322" i="1" s="1"/>
  <c r="F322" i="1" s="1"/>
  <c r="B323" i="1"/>
  <c r="C323" i="1" s="1"/>
  <c r="B324" i="1"/>
  <c r="B325" i="1"/>
  <c r="C325" i="1" s="1"/>
  <c r="D325" i="1" s="1"/>
  <c r="B326" i="1"/>
  <c r="C326" i="1" s="1"/>
  <c r="D326" i="1" s="1"/>
  <c r="E326" i="1" s="1"/>
  <c r="H326" i="1" s="1"/>
  <c r="B327" i="1"/>
  <c r="C327" i="1" s="1"/>
  <c r="B328" i="1"/>
  <c r="B329" i="1"/>
  <c r="C329" i="1" s="1"/>
  <c r="B330" i="1"/>
  <c r="C330" i="1" s="1"/>
  <c r="D330" i="1" s="1"/>
  <c r="G330" i="1" s="1"/>
  <c r="B331" i="1"/>
  <c r="B332" i="1"/>
  <c r="B333" i="1"/>
  <c r="C333" i="1" s="1"/>
  <c r="D333" i="1" s="1"/>
  <c r="B334" i="1"/>
  <c r="C334" i="1" s="1"/>
  <c r="D334" i="1" s="1"/>
  <c r="B335" i="1"/>
  <c r="B336" i="1"/>
  <c r="B337" i="1"/>
  <c r="C337" i="1" s="1"/>
  <c r="B338" i="1"/>
  <c r="C338" i="1" s="1"/>
  <c r="D338" i="1" s="1"/>
  <c r="E338" i="1" s="1"/>
  <c r="H338" i="1" s="1"/>
  <c r="B339" i="1"/>
  <c r="C339" i="1" s="1"/>
  <c r="B340" i="1"/>
  <c r="B341" i="1"/>
  <c r="C341" i="1" s="1"/>
  <c r="D341" i="1" s="1"/>
  <c r="E341" i="1" s="1"/>
  <c r="H341" i="1" s="1"/>
  <c r="B342" i="1"/>
  <c r="C342" i="1" s="1"/>
  <c r="D342" i="1" s="1"/>
  <c r="B343" i="1"/>
  <c r="C343" i="1" s="1"/>
  <c r="B344" i="1"/>
  <c r="B345" i="1"/>
  <c r="C345" i="1" s="1"/>
  <c r="D345" i="1" s="1"/>
  <c r="E345" i="1" s="1"/>
  <c r="H345" i="1" s="1"/>
  <c r="B346" i="1"/>
  <c r="C346" i="1" s="1"/>
  <c r="D346" i="1" s="1"/>
  <c r="E346" i="1" s="1"/>
  <c r="H346" i="1" s="1"/>
  <c r="B347" i="1"/>
  <c r="B348" i="1"/>
  <c r="B349" i="1"/>
  <c r="C349" i="1" s="1"/>
  <c r="D349" i="1" s="1"/>
  <c r="G349" i="1" s="1"/>
  <c r="B350" i="1"/>
  <c r="C350" i="1" s="1"/>
  <c r="D350" i="1" s="1"/>
  <c r="B351" i="1"/>
  <c r="B352" i="1"/>
  <c r="B353" i="1"/>
  <c r="C353" i="1" s="1"/>
  <c r="B354" i="1"/>
  <c r="C354" i="1" s="1"/>
  <c r="D354" i="1" s="1"/>
  <c r="B355" i="1"/>
  <c r="C355" i="1" s="1"/>
  <c r="B356" i="1"/>
  <c r="B357" i="1"/>
  <c r="C357" i="1" s="1"/>
  <c r="D357" i="1" s="1"/>
  <c r="B358" i="1"/>
  <c r="C358" i="1" s="1"/>
  <c r="D358" i="1" s="1"/>
  <c r="E358" i="1" s="1"/>
  <c r="H358" i="1" s="1"/>
  <c r="B359" i="1"/>
  <c r="C359" i="1" s="1"/>
  <c r="D359" i="1" s="1"/>
  <c r="E359" i="1" s="1"/>
  <c r="H359" i="1" s="1"/>
  <c r="B360" i="1"/>
  <c r="B361" i="1"/>
  <c r="C361" i="1" s="1"/>
  <c r="B362" i="1"/>
  <c r="C362" i="1" s="1"/>
  <c r="B363" i="1"/>
  <c r="B364" i="1"/>
  <c r="B365" i="1"/>
  <c r="C365" i="1" s="1"/>
  <c r="D365" i="1" s="1"/>
  <c r="B366" i="1"/>
  <c r="C366" i="1" s="1"/>
  <c r="D366" i="1" s="1"/>
  <c r="B367" i="1"/>
  <c r="B368" i="1"/>
  <c r="B369" i="1"/>
  <c r="C369" i="1" s="1"/>
  <c r="B370" i="1"/>
  <c r="C370" i="1" s="1"/>
  <c r="F370" i="1" s="1"/>
  <c r="B371" i="1"/>
  <c r="C371" i="1" s="1"/>
  <c r="B372" i="1"/>
  <c r="B373" i="1"/>
  <c r="C373" i="1" s="1"/>
  <c r="B374" i="1"/>
  <c r="C374" i="1" s="1"/>
  <c r="D374" i="1" s="1"/>
  <c r="B375" i="1"/>
  <c r="B376" i="1"/>
  <c r="B377" i="1"/>
  <c r="C377" i="1" s="1"/>
  <c r="B378" i="1"/>
  <c r="C378" i="1" s="1"/>
  <c r="F378" i="1" s="1"/>
  <c r="B379" i="1"/>
  <c r="C379" i="1" s="1"/>
  <c r="B380" i="1"/>
  <c r="B381" i="1"/>
  <c r="C381" i="1" s="1"/>
  <c r="D381" i="1" s="1"/>
  <c r="B382" i="1"/>
  <c r="C382" i="1" s="1"/>
  <c r="B383" i="1"/>
  <c r="C383" i="1" s="1"/>
  <c r="F383" i="1" s="1"/>
  <c r="B384" i="1"/>
  <c r="B385" i="1"/>
  <c r="C385" i="1" s="1"/>
  <c r="B386" i="1"/>
  <c r="C386" i="1" s="1"/>
  <c r="D386" i="1" s="1"/>
  <c r="E386" i="1" s="1"/>
  <c r="H386" i="1" s="1"/>
  <c r="B387" i="1"/>
  <c r="B388" i="1"/>
  <c r="B389" i="1"/>
  <c r="C389" i="1" s="1"/>
  <c r="B390" i="1"/>
  <c r="C390" i="1" s="1"/>
  <c r="F390" i="1" s="1"/>
  <c r="B391" i="1"/>
  <c r="B392" i="1"/>
  <c r="B393" i="1"/>
  <c r="C393" i="1" s="1"/>
  <c r="D393" i="1" s="1"/>
  <c r="E393" i="1" s="1"/>
  <c r="H393" i="1" s="1"/>
  <c r="B394" i="1"/>
  <c r="C394" i="1" s="1"/>
  <c r="D394" i="1" s="1"/>
  <c r="E394" i="1" s="1"/>
  <c r="H394" i="1" s="1"/>
  <c r="B395" i="1"/>
  <c r="C395" i="1" s="1"/>
  <c r="B396" i="1"/>
  <c r="B397" i="1"/>
  <c r="C397" i="1" s="1"/>
  <c r="D397" i="1" s="1"/>
  <c r="E397" i="1" s="1"/>
  <c r="H397" i="1" s="1"/>
  <c r="B398" i="1"/>
  <c r="C398" i="1" s="1"/>
  <c r="D398" i="1" s="1"/>
  <c r="B399" i="1"/>
  <c r="C399" i="1" s="1"/>
  <c r="B400" i="1"/>
  <c r="B401" i="1"/>
  <c r="C401" i="1" s="1"/>
  <c r="D401" i="1" s="1"/>
  <c r="E401" i="1" s="1"/>
  <c r="H401" i="1" s="1"/>
  <c r="C58" i="1"/>
  <c r="F58" i="1" s="1"/>
  <c r="C59" i="1"/>
  <c r="C133" i="1"/>
  <c r="D133" i="1" s="1"/>
  <c r="E133" i="1" s="1"/>
  <c r="H133" i="1" s="1"/>
  <c r="C145" i="1"/>
  <c r="C157" i="1"/>
  <c r="D157" i="1" s="1"/>
  <c r="D73" i="1"/>
  <c r="G73" i="1" s="1"/>
  <c r="D89" i="1"/>
  <c r="E89" i="1" s="1"/>
  <c r="H89" i="1" s="1"/>
  <c r="D137" i="1"/>
  <c r="E137" i="1" s="1"/>
  <c r="H137" i="1" s="1"/>
  <c r="F57" i="1"/>
  <c r="F73" i="1"/>
  <c r="F99" i="1"/>
  <c r="F105" i="1"/>
  <c r="F169" i="1"/>
  <c r="B45" i="1"/>
  <c r="B46" i="1"/>
  <c r="B47" i="1"/>
  <c r="C47" i="1" s="1"/>
  <c r="F47" i="1" s="1"/>
  <c r="B48" i="1"/>
  <c r="C48" i="1" s="1"/>
  <c r="D48" i="1" s="1"/>
  <c r="E48" i="1" s="1"/>
  <c r="H48" i="1" s="1"/>
  <c r="B49" i="1"/>
  <c r="C49" i="1" s="1"/>
  <c r="F49" i="1" s="1"/>
  <c r="B50" i="1"/>
  <c r="C50" i="1" s="1"/>
  <c r="F50" i="1" s="1"/>
  <c r="B51" i="1"/>
  <c r="B52" i="1"/>
  <c r="C52" i="1" s="1"/>
  <c r="D52" i="1" s="1"/>
  <c r="E52" i="1" s="1"/>
  <c r="H52" i="1" s="1"/>
  <c r="B53" i="1"/>
  <c r="C53" i="1" s="1"/>
  <c r="D53" i="1" s="1"/>
  <c r="E53" i="1" s="1"/>
  <c r="H53" i="1" s="1"/>
  <c r="B54" i="1"/>
  <c r="C54" i="1" s="1"/>
  <c r="F54" i="1" s="1"/>
  <c r="B55" i="1"/>
  <c r="C55" i="1" s="1"/>
  <c r="B56" i="1"/>
  <c r="C56" i="1" s="1"/>
  <c r="D56" i="1" s="1"/>
  <c r="E56" i="1" s="1"/>
  <c r="H56" i="1" s="1"/>
  <c r="C45" i="1"/>
  <c r="D45" i="1" s="1"/>
  <c r="G45" i="1" s="1"/>
  <c r="C46" i="1"/>
  <c r="W202" i="7" l="1"/>
  <c r="F70" i="7" s="1"/>
  <c r="C5" i="7"/>
  <c r="D5" i="7" s="1"/>
  <c r="E5" i="7" s="1"/>
  <c r="H5" i="7" s="1"/>
  <c r="C13" i="7"/>
  <c r="D13" i="7" s="1"/>
  <c r="E13" i="7" s="1"/>
  <c r="H13" i="7" s="1"/>
  <c r="C21" i="7"/>
  <c r="D21" i="7" s="1"/>
  <c r="E21" i="7" s="1"/>
  <c r="H21" i="7" s="1"/>
  <c r="C29" i="7"/>
  <c r="D29" i="7" s="1"/>
  <c r="E29" i="7" s="1"/>
  <c r="H29" i="7" s="1"/>
  <c r="C37" i="7"/>
  <c r="D37" i="7" s="1"/>
  <c r="E37" i="7" s="1"/>
  <c r="H37" i="7" s="1"/>
  <c r="C45" i="7"/>
  <c r="D45" i="7" s="1"/>
  <c r="E45" i="7" s="1"/>
  <c r="H45" i="7" s="1"/>
  <c r="C53" i="7"/>
  <c r="D53" i="7" s="1"/>
  <c r="E53" i="7" s="1"/>
  <c r="H53" i="7" s="1"/>
  <c r="C61" i="7"/>
  <c r="D61" i="7" s="1"/>
  <c r="E61" i="7" s="1"/>
  <c r="H61" i="7" s="1"/>
  <c r="C65" i="7"/>
  <c r="D65" i="7" s="1"/>
  <c r="E65" i="7" s="1"/>
  <c r="H65" i="7" s="1"/>
  <c r="C73" i="7"/>
  <c r="D73" i="7" s="1"/>
  <c r="E73" i="7" s="1"/>
  <c r="H73" i="7" s="1"/>
  <c r="C81" i="7"/>
  <c r="D81" i="7" s="1"/>
  <c r="E81" i="7" s="1"/>
  <c r="H81" i="7" s="1"/>
  <c r="C89" i="7"/>
  <c r="D89" i="7" s="1"/>
  <c r="E89" i="7" s="1"/>
  <c r="H89" i="7" s="1"/>
  <c r="C101" i="7"/>
  <c r="D101" i="7" s="1"/>
  <c r="E101" i="7" s="1"/>
  <c r="H101" i="7" s="1"/>
  <c r="C109" i="7"/>
  <c r="D109" i="7" s="1"/>
  <c r="E109" i="7" s="1"/>
  <c r="H109" i="7" s="1"/>
  <c r="C117" i="7"/>
  <c r="D117" i="7" s="1"/>
  <c r="E117" i="7" s="1"/>
  <c r="H117" i="7" s="1"/>
  <c r="C125" i="7"/>
  <c r="D125" i="7" s="1"/>
  <c r="E125" i="7" s="1"/>
  <c r="H125" i="7" s="1"/>
  <c r="C133" i="7"/>
  <c r="D133" i="7" s="1"/>
  <c r="E133" i="7" s="1"/>
  <c r="H133" i="7" s="1"/>
  <c r="C141" i="7"/>
  <c r="D141" i="7" s="1"/>
  <c r="E141" i="7" s="1"/>
  <c r="H141" i="7" s="1"/>
  <c r="C149" i="7"/>
  <c r="D149" i="7" s="1"/>
  <c r="E149" i="7" s="1"/>
  <c r="H149" i="7" s="1"/>
  <c r="C157" i="7"/>
  <c r="D157" i="7" s="1"/>
  <c r="E157" i="7" s="1"/>
  <c r="H157" i="7" s="1"/>
  <c r="C165" i="7"/>
  <c r="D165" i="7" s="1"/>
  <c r="E165" i="7" s="1"/>
  <c r="H165" i="7" s="1"/>
  <c r="C173" i="7"/>
  <c r="D173" i="7" s="1"/>
  <c r="E173" i="7" s="1"/>
  <c r="H173" i="7" s="1"/>
  <c r="C181" i="7"/>
  <c r="D181" i="7" s="1"/>
  <c r="E181" i="7" s="1"/>
  <c r="H181" i="7" s="1"/>
  <c r="C189" i="7"/>
  <c r="D189" i="7" s="1"/>
  <c r="E189" i="7" s="1"/>
  <c r="H189" i="7" s="1"/>
  <c r="C197" i="7"/>
  <c r="D197" i="7" s="1"/>
  <c r="E197" i="7" s="1"/>
  <c r="H197" i="7" s="1"/>
  <c r="C6" i="7"/>
  <c r="D6" i="7" s="1"/>
  <c r="E6" i="7" s="1"/>
  <c r="H6" i="7" s="1"/>
  <c r="C14" i="7"/>
  <c r="D14" i="7" s="1"/>
  <c r="E14" i="7" s="1"/>
  <c r="H14" i="7" s="1"/>
  <c r="C22" i="7"/>
  <c r="D22" i="7" s="1"/>
  <c r="E22" i="7" s="1"/>
  <c r="H22" i="7" s="1"/>
  <c r="C30" i="7"/>
  <c r="D30" i="7" s="1"/>
  <c r="E30" i="7" s="1"/>
  <c r="H30" i="7" s="1"/>
  <c r="C38" i="7"/>
  <c r="D38" i="7" s="1"/>
  <c r="E38" i="7" s="1"/>
  <c r="H38" i="7" s="1"/>
  <c r="C46" i="7"/>
  <c r="D46" i="7" s="1"/>
  <c r="E46" i="7" s="1"/>
  <c r="H46" i="7" s="1"/>
  <c r="C54" i="7"/>
  <c r="D54" i="7" s="1"/>
  <c r="E54" i="7" s="1"/>
  <c r="H54" i="7" s="1"/>
  <c r="C62" i="7"/>
  <c r="D62" i="7" s="1"/>
  <c r="E62" i="7" s="1"/>
  <c r="H62" i="7" s="1"/>
  <c r="C70" i="7"/>
  <c r="D70" i="7" s="1"/>
  <c r="E70" i="7" s="1"/>
  <c r="H70" i="7" s="1"/>
  <c r="C82" i="7"/>
  <c r="D82" i="7" s="1"/>
  <c r="E82" i="7" s="1"/>
  <c r="H82" i="7" s="1"/>
  <c r="C90" i="7"/>
  <c r="D90" i="7" s="1"/>
  <c r="E90" i="7" s="1"/>
  <c r="H90" i="7" s="1"/>
  <c r="C98" i="7"/>
  <c r="D98" i="7" s="1"/>
  <c r="E98" i="7" s="1"/>
  <c r="H98" i="7" s="1"/>
  <c r="C106" i="7"/>
  <c r="D106" i="7" s="1"/>
  <c r="E106" i="7" s="1"/>
  <c r="H106" i="7" s="1"/>
  <c r="C114" i="7"/>
  <c r="D114" i="7" s="1"/>
  <c r="E114" i="7" s="1"/>
  <c r="H114" i="7" s="1"/>
  <c r="C122" i="7"/>
  <c r="D122" i="7" s="1"/>
  <c r="E122" i="7" s="1"/>
  <c r="H122" i="7" s="1"/>
  <c r="C130" i="7"/>
  <c r="D130" i="7" s="1"/>
  <c r="E130" i="7" s="1"/>
  <c r="H130" i="7" s="1"/>
  <c r="C134" i="7"/>
  <c r="D134" i="7" s="1"/>
  <c r="E134" i="7" s="1"/>
  <c r="H134" i="7" s="1"/>
  <c r="C142" i="7"/>
  <c r="D142" i="7" s="1"/>
  <c r="E142" i="7" s="1"/>
  <c r="H142" i="7" s="1"/>
  <c r="C154" i="7"/>
  <c r="D154" i="7" s="1"/>
  <c r="E154" i="7" s="1"/>
  <c r="H154" i="7" s="1"/>
  <c r="C162" i="7"/>
  <c r="D162" i="7" s="1"/>
  <c r="E162" i="7" s="1"/>
  <c r="H162" i="7" s="1"/>
  <c r="C166" i="7"/>
  <c r="D166" i="7" s="1"/>
  <c r="E166" i="7" s="1"/>
  <c r="H166" i="7" s="1"/>
  <c r="C174" i="7"/>
  <c r="D174" i="7" s="1"/>
  <c r="E174" i="7" s="1"/>
  <c r="H174" i="7" s="1"/>
  <c r="C182" i="7"/>
  <c r="D182" i="7" s="1"/>
  <c r="E182" i="7" s="1"/>
  <c r="H182" i="7" s="1"/>
  <c r="C190" i="7"/>
  <c r="D190" i="7" s="1"/>
  <c r="E190" i="7" s="1"/>
  <c r="H190" i="7" s="1"/>
  <c r="C198" i="7"/>
  <c r="D198" i="7" s="1"/>
  <c r="E198" i="7" s="1"/>
  <c r="H198" i="7" s="1"/>
  <c r="C3" i="7"/>
  <c r="D3" i="7" s="1"/>
  <c r="E3" i="7" s="1"/>
  <c r="H3" i="7" s="1"/>
  <c r="C7" i="7"/>
  <c r="D7" i="7" s="1"/>
  <c r="E7" i="7" s="1"/>
  <c r="H7" i="7" s="1"/>
  <c r="C11" i="7"/>
  <c r="D11" i="7" s="1"/>
  <c r="E11" i="7" s="1"/>
  <c r="H11" i="7" s="1"/>
  <c r="C15" i="7"/>
  <c r="D15" i="7" s="1"/>
  <c r="E15" i="7" s="1"/>
  <c r="H15" i="7" s="1"/>
  <c r="C19" i="7"/>
  <c r="D19" i="7" s="1"/>
  <c r="E19" i="7" s="1"/>
  <c r="H19" i="7" s="1"/>
  <c r="C23" i="7"/>
  <c r="D23" i="7" s="1"/>
  <c r="E23" i="7" s="1"/>
  <c r="H23" i="7" s="1"/>
  <c r="C27" i="7"/>
  <c r="D27" i="7" s="1"/>
  <c r="E27" i="7" s="1"/>
  <c r="H27" i="7" s="1"/>
  <c r="C31" i="7"/>
  <c r="D31" i="7" s="1"/>
  <c r="E31" i="7" s="1"/>
  <c r="H31" i="7" s="1"/>
  <c r="C35" i="7"/>
  <c r="D35" i="7" s="1"/>
  <c r="E35" i="7" s="1"/>
  <c r="H35" i="7" s="1"/>
  <c r="C39" i="7"/>
  <c r="D39" i="7" s="1"/>
  <c r="E39" i="7" s="1"/>
  <c r="H39" i="7" s="1"/>
  <c r="C43" i="7"/>
  <c r="D43" i="7" s="1"/>
  <c r="E43" i="7" s="1"/>
  <c r="H43" i="7" s="1"/>
  <c r="C47" i="7"/>
  <c r="D47" i="7" s="1"/>
  <c r="E47" i="7" s="1"/>
  <c r="H47" i="7" s="1"/>
  <c r="C51" i="7"/>
  <c r="D51" i="7" s="1"/>
  <c r="E51" i="7" s="1"/>
  <c r="H51" i="7" s="1"/>
  <c r="C55" i="7"/>
  <c r="D55" i="7" s="1"/>
  <c r="E55" i="7" s="1"/>
  <c r="H55" i="7" s="1"/>
  <c r="C59" i="7"/>
  <c r="D59" i="7" s="1"/>
  <c r="E59" i="7" s="1"/>
  <c r="H59" i="7" s="1"/>
  <c r="C63" i="7"/>
  <c r="D63" i="7" s="1"/>
  <c r="E63" i="7" s="1"/>
  <c r="H63" i="7" s="1"/>
  <c r="C67" i="7"/>
  <c r="D67" i="7" s="1"/>
  <c r="E67" i="7" s="1"/>
  <c r="H67" i="7" s="1"/>
  <c r="C71" i="7"/>
  <c r="D71" i="7" s="1"/>
  <c r="E71" i="7" s="1"/>
  <c r="H71" i="7" s="1"/>
  <c r="C75" i="7"/>
  <c r="D75" i="7" s="1"/>
  <c r="E75" i="7" s="1"/>
  <c r="H75" i="7" s="1"/>
  <c r="C79" i="7"/>
  <c r="D79" i="7" s="1"/>
  <c r="E79" i="7" s="1"/>
  <c r="H79" i="7" s="1"/>
  <c r="C83" i="7"/>
  <c r="D83" i="7" s="1"/>
  <c r="E83" i="7" s="1"/>
  <c r="H83" i="7" s="1"/>
  <c r="C87" i="7"/>
  <c r="D87" i="7" s="1"/>
  <c r="E87" i="7" s="1"/>
  <c r="H87" i="7" s="1"/>
  <c r="C91" i="7"/>
  <c r="D91" i="7" s="1"/>
  <c r="E91" i="7" s="1"/>
  <c r="H91" i="7" s="1"/>
  <c r="C95" i="7"/>
  <c r="D95" i="7" s="1"/>
  <c r="E95" i="7" s="1"/>
  <c r="H95" i="7" s="1"/>
  <c r="C99" i="7"/>
  <c r="D99" i="7" s="1"/>
  <c r="E99" i="7" s="1"/>
  <c r="H99" i="7" s="1"/>
  <c r="C103" i="7"/>
  <c r="D103" i="7" s="1"/>
  <c r="E103" i="7" s="1"/>
  <c r="H103" i="7" s="1"/>
  <c r="C107" i="7"/>
  <c r="D107" i="7" s="1"/>
  <c r="E107" i="7" s="1"/>
  <c r="H107" i="7" s="1"/>
  <c r="C111" i="7"/>
  <c r="D111" i="7" s="1"/>
  <c r="E111" i="7" s="1"/>
  <c r="H111" i="7" s="1"/>
  <c r="C115" i="7"/>
  <c r="D115" i="7" s="1"/>
  <c r="E115" i="7" s="1"/>
  <c r="H115" i="7" s="1"/>
  <c r="C119" i="7"/>
  <c r="D119" i="7" s="1"/>
  <c r="E119" i="7" s="1"/>
  <c r="H119" i="7" s="1"/>
  <c r="C123" i="7"/>
  <c r="D123" i="7" s="1"/>
  <c r="E123" i="7" s="1"/>
  <c r="H123" i="7" s="1"/>
  <c r="C127" i="7"/>
  <c r="D127" i="7" s="1"/>
  <c r="E127" i="7" s="1"/>
  <c r="H127" i="7" s="1"/>
  <c r="C131" i="7"/>
  <c r="D131" i="7" s="1"/>
  <c r="E131" i="7" s="1"/>
  <c r="H131" i="7" s="1"/>
  <c r="C135" i="7"/>
  <c r="D135" i="7" s="1"/>
  <c r="E135" i="7" s="1"/>
  <c r="H135" i="7" s="1"/>
  <c r="C139" i="7"/>
  <c r="D139" i="7" s="1"/>
  <c r="E139" i="7" s="1"/>
  <c r="H139" i="7" s="1"/>
  <c r="C143" i="7"/>
  <c r="D143" i="7" s="1"/>
  <c r="E143" i="7" s="1"/>
  <c r="H143" i="7" s="1"/>
  <c r="C147" i="7"/>
  <c r="D147" i="7" s="1"/>
  <c r="E147" i="7" s="1"/>
  <c r="H147" i="7" s="1"/>
  <c r="C151" i="7"/>
  <c r="D151" i="7" s="1"/>
  <c r="E151" i="7" s="1"/>
  <c r="H151" i="7" s="1"/>
  <c r="C155" i="7"/>
  <c r="D155" i="7" s="1"/>
  <c r="E155" i="7" s="1"/>
  <c r="H155" i="7" s="1"/>
  <c r="C159" i="7"/>
  <c r="D159" i="7" s="1"/>
  <c r="E159" i="7" s="1"/>
  <c r="H159" i="7" s="1"/>
  <c r="C163" i="7"/>
  <c r="D163" i="7" s="1"/>
  <c r="E163" i="7" s="1"/>
  <c r="H163" i="7" s="1"/>
  <c r="C167" i="7"/>
  <c r="D167" i="7" s="1"/>
  <c r="E167" i="7" s="1"/>
  <c r="H167" i="7" s="1"/>
  <c r="C171" i="7"/>
  <c r="D171" i="7" s="1"/>
  <c r="E171" i="7" s="1"/>
  <c r="H171" i="7" s="1"/>
  <c r="C175" i="7"/>
  <c r="D175" i="7" s="1"/>
  <c r="E175" i="7" s="1"/>
  <c r="H175" i="7" s="1"/>
  <c r="C179" i="7"/>
  <c r="D179" i="7" s="1"/>
  <c r="E179" i="7" s="1"/>
  <c r="H179" i="7" s="1"/>
  <c r="C183" i="7"/>
  <c r="D183" i="7" s="1"/>
  <c r="E183" i="7" s="1"/>
  <c r="H183" i="7" s="1"/>
  <c r="C187" i="7"/>
  <c r="D187" i="7" s="1"/>
  <c r="E187" i="7" s="1"/>
  <c r="H187" i="7" s="1"/>
  <c r="C191" i="7"/>
  <c r="D191" i="7" s="1"/>
  <c r="E191" i="7" s="1"/>
  <c r="H191" i="7" s="1"/>
  <c r="C195" i="7"/>
  <c r="D195" i="7" s="1"/>
  <c r="E195" i="7" s="1"/>
  <c r="H195" i="7" s="1"/>
  <c r="C199" i="7"/>
  <c r="D199" i="7" s="1"/>
  <c r="E199" i="7" s="1"/>
  <c r="H199" i="7" s="1"/>
  <c r="C9" i="7"/>
  <c r="D9" i="7" s="1"/>
  <c r="E9" i="7" s="1"/>
  <c r="H9" i="7" s="1"/>
  <c r="C17" i="7"/>
  <c r="D17" i="7" s="1"/>
  <c r="E17" i="7" s="1"/>
  <c r="H17" i="7" s="1"/>
  <c r="C25" i="7"/>
  <c r="D25" i="7" s="1"/>
  <c r="E25" i="7" s="1"/>
  <c r="H25" i="7" s="1"/>
  <c r="C33" i="7"/>
  <c r="D33" i="7" s="1"/>
  <c r="E33" i="7" s="1"/>
  <c r="H33" i="7" s="1"/>
  <c r="C41" i="7"/>
  <c r="D41" i="7" s="1"/>
  <c r="E41" i="7" s="1"/>
  <c r="H41" i="7" s="1"/>
  <c r="C49" i="7"/>
  <c r="D49" i="7" s="1"/>
  <c r="E49" i="7" s="1"/>
  <c r="H49" i="7" s="1"/>
  <c r="C57" i="7"/>
  <c r="D57" i="7" s="1"/>
  <c r="E57" i="7" s="1"/>
  <c r="H57" i="7" s="1"/>
  <c r="C69" i="7"/>
  <c r="D69" i="7" s="1"/>
  <c r="E69" i="7" s="1"/>
  <c r="H69" i="7" s="1"/>
  <c r="C77" i="7"/>
  <c r="D77" i="7" s="1"/>
  <c r="E77" i="7" s="1"/>
  <c r="H77" i="7" s="1"/>
  <c r="C85" i="7"/>
  <c r="D85" i="7" s="1"/>
  <c r="E85" i="7" s="1"/>
  <c r="H85" i="7" s="1"/>
  <c r="C93" i="7"/>
  <c r="D93" i="7" s="1"/>
  <c r="E93" i="7" s="1"/>
  <c r="H93" i="7" s="1"/>
  <c r="C97" i="7"/>
  <c r="D97" i="7" s="1"/>
  <c r="E97" i="7" s="1"/>
  <c r="H97" i="7" s="1"/>
  <c r="C105" i="7"/>
  <c r="D105" i="7" s="1"/>
  <c r="E105" i="7" s="1"/>
  <c r="H105" i="7" s="1"/>
  <c r="C113" i="7"/>
  <c r="D113" i="7" s="1"/>
  <c r="E113" i="7" s="1"/>
  <c r="H113" i="7" s="1"/>
  <c r="C121" i="7"/>
  <c r="D121" i="7" s="1"/>
  <c r="E121" i="7" s="1"/>
  <c r="H121" i="7" s="1"/>
  <c r="C129" i="7"/>
  <c r="D129" i="7" s="1"/>
  <c r="E129" i="7" s="1"/>
  <c r="H129" i="7" s="1"/>
  <c r="C137" i="7"/>
  <c r="D137" i="7" s="1"/>
  <c r="E137" i="7" s="1"/>
  <c r="H137" i="7" s="1"/>
  <c r="C145" i="7"/>
  <c r="D145" i="7" s="1"/>
  <c r="E145" i="7" s="1"/>
  <c r="H145" i="7" s="1"/>
  <c r="C153" i="7"/>
  <c r="D153" i="7" s="1"/>
  <c r="E153" i="7" s="1"/>
  <c r="H153" i="7" s="1"/>
  <c r="C161" i="7"/>
  <c r="D161" i="7" s="1"/>
  <c r="E161" i="7" s="1"/>
  <c r="H161" i="7" s="1"/>
  <c r="C169" i="7"/>
  <c r="D169" i="7" s="1"/>
  <c r="E169" i="7" s="1"/>
  <c r="H169" i="7" s="1"/>
  <c r="C177" i="7"/>
  <c r="D177" i="7" s="1"/>
  <c r="E177" i="7" s="1"/>
  <c r="H177" i="7" s="1"/>
  <c r="C185" i="7"/>
  <c r="D185" i="7" s="1"/>
  <c r="E185" i="7" s="1"/>
  <c r="H185" i="7" s="1"/>
  <c r="C193" i="7"/>
  <c r="D193" i="7" s="1"/>
  <c r="E193" i="7" s="1"/>
  <c r="H193" i="7" s="1"/>
  <c r="C201" i="7"/>
  <c r="D201" i="7" s="1"/>
  <c r="E201" i="7" s="1"/>
  <c r="H201" i="7" s="1"/>
  <c r="C10" i="7"/>
  <c r="D10" i="7" s="1"/>
  <c r="E10" i="7" s="1"/>
  <c r="H10" i="7" s="1"/>
  <c r="C18" i="7"/>
  <c r="D18" i="7" s="1"/>
  <c r="E18" i="7" s="1"/>
  <c r="H18" i="7" s="1"/>
  <c r="C26" i="7"/>
  <c r="D26" i="7" s="1"/>
  <c r="E26" i="7" s="1"/>
  <c r="H26" i="7" s="1"/>
  <c r="C34" i="7"/>
  <c r="D34" i="7" s="1"/>
  <c r="E34" i="7" s="1"/>
  <c r="H34" i="7" s="1"/>
  <c r="C42" i="7"/>
  <c r="D42" i="7" s="1"/>
  <c r="E42" i="7" s="1"/>
  <c r="H42" i="7" s="1"/>
  <c r="C50" i="7"/>
  <c r="D50" i="7" s="1"/>
  <c r="E50" i="7" s="1"/>
  <c r="H50" i="7" s="1"/>
  <c r="C58" i="7"/>
  <c r="D58" i="7" s="1"/>
  <c r="E58" i="7" s="1"/>
  <c r="H58" i="7" s="1"/>
  <c r="C66" i="7"/>
  <c r="D66" i="7" s="1"/>
  <c r="E66" i="7" s="1"/>
  <c r="H66" i="7" s="1"/>
  <c r="C74" i="7"/>
  <c r="D74" i="7" s="1"/>
  <c r="E74" i="7" s="1"/>
  <c r="H74" i="7" s="1"/>
  <c r="C78" i="7"/>
  <c r="D78" i="7" s="1"/>
  <c r="E78" i="7" s="1"/>
  <c r="H78" i="7" s="1"/>
  <c r="C86" i="7"/>
  <c r="D86" i="7" s="1"/>
  <c r="E86" i="7" s="1"/>
  <c r="H86" i="7" s="1"/>
  <c r="C94" i="7"/>
  <c r="D94" i="7" s="1"/>
  <c r="E94" i="7" s="1"/>
  <c r="H94" i="7" s="1"/>
  <c r="C102" i="7"/>
  <c r="D102" i="7" s="1"/>
  <c r="E102" i="7" s="1"/>
  <c r="H102" i="7" s="1"/>
  <c r="C110" i="7"/>
  <c r="D110" i="7" s="1"/>
  <c r="E110" i="7" s="1"/>
  <c r="H110" i="7" s="1"/>
  <c r="C118" i="7"/>
  <c r="D118" i="7" s="1"/>
  <c r="E118" i="7" s="1"/>
  <c r="H118" i="7" s="1"/>
  <c r="C126" i="7"/>
  <c r="D126" i="7" s="1"/>
  <c r="E126" i="7" s="1"/>
  <c r="H126" i="7" s="1"/>
  <c r="C138" i="7"/>
  <c r="D138" i="7" s="1"/>
  <c r="E138" i="7" s="1"/>
  <c r="H138" i="7" s="1"/>
  <c r="C146" i="7"/>
  <c r="D146" i="7" s="1"/>
  <c r="E146" i="7" s="1"/>
  <c r="H146" i="7" s="1"/>
  <c r="C150" i="7"/>
  <c r="D150" i="7" s="1"/>
  <c r="E150" i="7" s="1"/>
  <c r="H150" i="7" s="1"/>
  <c r="C158" i="7"/>
  <c r="D158" i="7" s="1"/>
  <c r="E158" i="7" s="1"/>
  <c r="H158" i="7" s="1"/>
  <c r="C170" i="7"/>
  <c r="D170" i="7" s="1"/>
  <c r="E170" i="7" s="1"/>
  <c r="H170" i="7" s="1"/>
  <c r="C178" i="7"/>
  <c r="D178" i="7" s="1"/>
  <c r="E178" i="7" s="1"/>
  <c r="H178" i="7" s="1"/>
  <c r="C186" i="7"/>
  <c r="D186" i="7" s="1"/>
  <c r="E186" i="7" s="1"/>
  <c r="H186" i="7" s="1"/>
  <c r="C194" i="7"/>
  <c r="D194" i="7" s="1"/>
  <c r="E194" i="7" s="1"/>
  <c r="H194" i="7" s="1"/>
  <c r="C4" i="7"/>
  <c r="D4" i="7" s="1"/>
  <c r="E4" i="7" s="1"/>
  <c r="H4" i="7" s="1"/>
  <c r="C8" i="7"/>
  <c r="D8" i="7" s="1"/>
  <c r="E8" i="7" s="1"/>
  <c r="H8" i="7" s="1"/>
  <c r="C12" i="7"/>
  <c r="D12" i="7" s="1"/>
  <c r="E12" i="7" s="1"/>
  <c r="H12" i="7" s="1"/>
  <c r="C16" i="7"/>
  <c r="D16" i="7" s="1"/>
  <c r="E16" i="7" s="1"/>
  <c r="H16" i="7" s="1"/>
  <c r="C20" i="7"/>
  <c r="D20" i="7" s="1"/>
  <c r="E20" i="7" s="1"/>
  <c r="H20" i="7" s="1"/>
  <c r="C24" i="7"/>
  <c r="D24" i="7" s="1"/>
  <c r="E24" i="7" s="1"/>
  <c r="H24" i="7" s="1"/>
  <c r="C28" i="7"/>
  <c r="D28" i="7" s="1"/>
  <c r="E28" i="7" s="1"/>
  <c r="H28" i="7" s="1"/>
  <c r="C32" i="7"/>
  <c r="D32" i="7" s="1"/>
  <c r="E32" i="7" s="1"/>
  <c r="H32" i="7" s="1"/>
  <c r="C36" i="7"/>
  <c r="D36" i="7" s="1"/>
  <c r="E36" i="7" s="1"/>
  <c r="H36" i="7" s="1"/>
  <c r="C40" i="7"/>
  <c r="D40" i="7" s="1"/>
  <c r="E40" i="7" s="1"/>
  <c r="H40" i="7" s="1"/>
  <c r="C44" i="7"/>
  <c r="D44" i="7" s="1"/>
  <c r="E44" i="7" s="1"/>
  <c r="H44" i="7" s="1"/>
  <c r="C48" i="7"/>
  <c r="D48" i="7" s="1"/>
  <c r="E48" i="7" s="1"/>
  <c r="H48" i="7" s="1"/>
  <c r="C52" i="7"/>
  <c r="D52" i="7" s="1"/>
  <c r="E52" i="7" s="1"/>
  <c r="H52" i="7" s="1"/>
  <c r="C56" i="7"/>
  <c r="D56" i="7" s="1"/>
  <c r="E56" i="7" s="1"/>
  <c r="H56" i="7" s="1"/>
  <c r="C60" i="7"/>
  <c r="D60" i="7" s="1"/>
  <c r="E60" i="7" s="1"/>
  <c r="H60" i="7" s="1"/>
  <c r="C64" i="7"/>
  <c r="D64" i="7" s="1"/>
  <c r="E64" i="7" s="1"/>
  <c r="H64" i="7" s="1"/>
  <c r="C68" i="7"/>
  <c r="D68" i="7" s="1"/>
  <c r="E68" i="7" s="1"/>
  <c r="H68" i="7" s="1"/>
  <c r="C72" i="7"/>
  <c r="D72" i="7" s="1"/>
  <c r="E72" i="7" s="1"/>
  <c r="H72" i="7" s="1"/>
  <c r="C76" i="7"/>
  <c r="D76" i="7" s="1"/>
  <c r="E76" i="7" s="1"/>
  <c r="H76" i="7" s="1"/>
  <c r="C80" i="7"/>
  <c r="D80" i="7" s="1"/>
  <c r="E80" i="7" s="1"/>
  <c r="H80" i="7" s="1"/>
  <c r="C84" i="7"/>
  <c r="D84" i="7" s="1"/>
  <c r="E84" i="7" s="1"/>
  <c r="H84" i="7" s="1"/>
  <c r="C88" i="7"/>
  <c r="D88" i="7" s="1"/>
  <c r="E88" i="7" s="1"/>
  <c r="H88" i="7" s="1"/>
  <c r="C92" i="7"/>
  <c r="D92" i="7" s="1"/>
  <c r="E92" i="7" s="1"/>
  <c r="H92" i="7" s="1"/>
  <c r="C96" i="7"/>
  <c r="D96" i="7" s="1"/>
  <c r="E96" i="7" s="1"/>
  <c r="H96" i="7" s="1"/>
  <c r="C100" i="7"/>
  <c r="D100" i="7" s="1"/>
  <c r="E100" i="7" s="1"/>
  <c r="H100" i="7" s="1"/>
  <c r="C104" i="7"/>
  <c r="D104" i="7" s="1"/>
  <c r="E104" i="7" s="1"/>
  <c r="H104" i="7" s="1"/>
  <c r="C108" i="7"/>
  <c r="D108" i="7" s="1"/>
  <c r="E108" i="7" s="1"/>
  <c r="H108" i="7" s="1"/>
  <c r="C112" i="7"/>
  <c r="D112" i="7" s="1"/>
  <c r="E112" i="7" s="1"/>
  <c r="H112" i="7" s="1"/>
  <c r="C116" i="7"/>
  <c r="D116" i="7" s="1"/>
  <c r="E116" i="7" s="1"/>
  <c r="H116" i="7" s="1"/>
  <c r="C120" i="7"/>
  <c r="D120" i="7" s="1"/>
  <c r="E120" i="7" s="1"/>
  <c r="H120" i="7" s="1"/>
  <c r="C124" i="7"/>
  <c r="D124" i="7" s="1"/>
  <c r="E124" i="7" s="1"/>
  <c r="H124" i="7" s="1"/>
  <c r="C128" i="7"/>
  <c r="D128" i="7" s="1"/>
  <c r="E128" i="7" s="1"/>
  <c r="H128" i="7" s="1"/>
  <c r="C132" i="7"/>
  <c r="D132" i="7" s="1"/>
  <c r="E132" i="7" s="1"/>
  <c r="H132" i="7" s="1"/>
  <c r="C136" i="7"/>
  <c r="D136" i="7" s="1"/>
  <c r="E136" i="7" s="1"/>
  <c r="H136" i="7" s="1"/>
  <c r="C140" i="7"/>
  <c r="D140" i="7" s="1"/>
  <c r="E140" i="7" s="1"/>
  <c r="H140" i="7" s="1"/>
  <c r="C144" i="7"/>
  <c r="D144" i="7" s="1"/>
  <c r="E144" i="7" s="1"/>
  <c r="H144" i="7" s="1"/>
  <c r="C148" i="7"/>
  <c r="D148" i="7" s="1"/>
  <c r="E148" i="7" s="1"/>
  <c r="H148" i="7" s="1"/>
  <c r="C152" i="7"/>
  <c r="D152" i="7" s="1"/>
  <c r="E152" i="7" s="1"/>
  <c r="H152" i="7" s="1"/>
  <c r="C156" i="7"/>
  <c r="D156" i="7" s="1"/>
  <c r="E156" i="7" s="1"/>
  <c r="H156" i="7" s="1"/>
  <c r="C160" i="7"/>
  <c r="D160" i="7" s="1"/>
  <c r="E160" i="7" s="1"/>
  <c r="H160" i="7" s="1"/>
  <c r="C164" i="7"/>
  <c r="D164" i="7" s="1"/>
  <c r="E164" i="7" s="1"/>
  <c r="H164" i="7" s="1"/>
  <c r="C168" i="7"/>
  <c r="D168" i="7" s="1"/>
  <c r="E168" i="7" s="1"/>
  <c r="H168" i="7" s="1"/>
  <c r="C172" i="7"/>
  <c r="D172" i="7" s="1"/>
  <c r="E172" i="7" s="1"/>
  <c r="H172" i="7" s="1"/>
  <c r="C176" i="7"/>
  <c r="D176" i="7" s="1"/>
  <c r="E176" i="7" s="1"/>
  <c r="H176" i="7" s="1"/>
  <c r="C180" i="7"/>
  <c r="D180" i="7" s="1"/>
  <c r="E180" i="7" s="1"/>
  <c r="H180" i="7" s="1"/>
  <c r="C184" i="7"/>
  <c r="D184" i="7" s="1"/>
  <c r="E184" i="7" s="1"/>
  <c r="H184" i="7" s="1"/>
  <c r="C188" i="7"/>
  <c r="D188" i="7" s="1"/>
  <c r="E188" i="7" s="1"/>
  <c r="H188" i="7" s="1"/>
  <c r="C192" i="7"/>
  <c r="D192" i="7" s="1"/>
  <c r="E192" i="7" s="1"/>
  <c r="H192" i="7" s="1"/>
  <c r="C196" i="7"/>
  <c r="D196" i="7" s="1"/>
  <c r="E196" i="7" s="1"/>
  <c r="H196" i="7" s="1"/>
  <c r="C200" i="7"/>
  <c r="D200" i="7" s="1"/>
  <c r="E200" i="7" s="1"/>
  <c r="H200" i="7" s="1"/>
  <c r="F163" i="1"/>
  <c r="F121" i="1"/>
  <c r="F66" i="1"/>
  <c r="D66" i="1"/>
  <c r="E66" i="1" s="1"/>
  <c r="H66" i="1" s="1"/>
  <c r="AH25" i="7"/>
  <c r="AH24" i="7"/>
  <c r="O202" i="7"/>
  <c r="AH27" i="7" s="1"/>
  <c r="AL24" i="7" s="1"/>
  <c r="Q47" i="7" s="1"/>
  <c r="AB25" i="7"/>
  <c r="G202" i="7"/>
  <c r="AB27" i="7" s="1"/>
  <c r="AF24" i="7" s="1"/>
  <c r="L2" i="7" s="1"/>
  <c r="AB24" i="7"/>
  <c r="E32" i="6"/>
  <c r="H32" i="6" s="1"/>
  <c r="D37" i="6"/>
  <c r="E37" i="6" s="1"/>
  <c r="H37" i="6" s="1"/>
  <c r="C67" i="6"/>
  <c r="D76" i="6"/>
  <c r="E76" i="6" s="1"/>
  <c r="H76" i="6" s="1"/>
  <c r="C82" i="6"/>
  <c r="D106" i="6"/>
  <c r="E106" i="6" s="1"/>
  <c r="H106" i="6" s="1"/>
  <c r="D144" i="6"/>
  <c r="E144" i="6" s="1"/>
  <c r="H144" i="6" s="1"/>
  <c r="C25" i="6"/>
  <c r="C27" i="6"/>
  <c r="D34" i="6"/>
  <c r="E34" i="6" s="1"/>
  <c r="H34" i="6" s="1"/>
  <c r="D35" i="6"/>
  <c r="E35" i="6" s="1"/>
  <c r="H35" i="6" s="1"/>
  <c r="D42" i="6"/>
  <c r="E42" i="6" s="1"/>
  <c r="H42" i="6" s="1"/>
  <c r="D43" i="6"/>
  <c r="E43" i="6" s="1"/>
  <c r="H43" i="6" s="1"/>
  <c r="C75" i="6"/>
  <c r="D84" i="6"/>
  <c r="E84" i="6" s="1"/>
  <c r="H84" i="6" s="1"/>
  <c r="C90" i="6"/>
  <c r="D96" i="6"/>
  <c r="E96" i="6" s="1"/>
  <c r="H96" i="6" s="1"/>
  <c r="D104" i="6"/>
  <c r="E104" i="6" s="1"/>
  <c r="H104" i="6" s="1"/>
  <c r="D130" i="6"/>
  <c r="E130" i="6" s="1"/>
  <c r="H130" i="6" s="1"/>
  <c r="D29" i="6"/>
  <c r="E29" i="6" s="1"/>
  <c r="H29" i="6" s="1"/>
  <c r="D45" i="6"/>
  <c r="E45" i="6" s="1"/>
  <c r="H45" i="6" s="1"/>
  <c r="D88" i="6"/>
  <c r="E88" i="6" s="1"/>
  <c r="H88" i="6" s="1"/>
  <c r="D138" i="6"/>
  <c r="E138" i="6" s="1"/>
  <c r="H138" i="6" s="1"/>
  <c r="D3" i="6"/>
  <c r="E3" i="6" s="1"/>
  <c r="H3" i="6" s="1"/>
  <c r="D33" i="6"/>
  <c r="E33" i="6" s="1"/>
  <c r="H33" i="6" s="1"/>
  <c r="D41" i="6"/>
  <c r="E41" i="6" s="1"/>
  <c r="H41" i="6" s="1"/>
  <c r="D72" i="6"/>
  <c r="E72" i="6" s="1"/>
  <c r="H72" i="6" s="1"/>
  <c r="C83" i="6"/>
  <c r="D92" i="6"/>
  <c r="E92" i="6" s="1"/>
  <c r="H92" i="6" s="1"/>
  <c r="C98" i="6"/>
  <c r="D122" i="6"/>
  <c r="E122" i="6" s="1"/>
  <c r="H122" i="6" s="1"/>
  <c r="D31" i="6"/>
  <c r="E31" i="6" s="1"/>
  <c r="H31" i="6" s="1"/>
  <c r="D39" i="6"/>
  <c r="E39" i="6" s="1"/>
  <c r="H39" i="6" s="1"/>
  <c r="C47" i="6"/>
  <c r="D68" i="6"/>
  <c r="E68" i="6" s="1"/>
  <c r="H68" i="6" s="1"/>
  <c r="C74" i="6"/>
  <c r="D80" i="6"/>
  <c r="E80" i="6" s="1"/>
  <c r="H80" i="6" s="1"/>
  <c r="C91" i="6"/>
  <c r="D114" i="6"/>
  <c r="E114" i="6" s="1"/>
  <c r="H114" i="6" s="1"/>
  <c r="C49" i="6"/>
  <c r="C51" i="6"/>
  <c r="C53" i="6"/>
  <c r="C55" i="6"/>
  <c r="C57" i="6"/>
  <c r="C59" i="6"/>
  <c r="C61" i="6"/>
  <c r="C63" i="6"/>
  <c r="C65" i="6"/>
  <c r="C112" i="6"/>
  <c r="C120" i="6"/>
  <c r="C128" i="6"/>
  <c r="C136" i="6"/>
  <c r="C168" i="6"/>
  <c r="D178" i="6"/>
  <c r="E178" i="6" s="1"/>
  <c r="H178" i="6" s="1"/>
  <c r="C185" i="6"/>
  <c r="D192" i="6"/>
  <c r="E192" i="6" s="1"/>
  <c r="H192" i="6" s="1"/>
  <c r="D194" i="6"/>
  <c r="E194" i="6" s="1"/>
  <c r="H194" i="6" s="1"/>
  <c r="C198" i="6"/>
  <c r="D211" i="6"/>
  <c r="E211" i="6" s="1"/>
  <c r="H211" i="6" s="1"/>
  <c r="C161" i="6"/>
  <c r="D170" i="6"/>
  <c r="E170" i="6" s="1"/>
  <c r="H170" i="6" s="1"/>
  <c r="C177" i="6"/>
  <c r="D182" i="6"/>
  <c r="E182" i="6" s="1"/>
  <c r="H182" i="6" s="1"/>
  <c r="D200" i="6"/>
  <c r="E200" i="6" s="1"/>
  <c r="H200" i="6" s="1"/>
  <c r="D202" i="6"/>
  <c r="E202" i="6" s="1"/>
  <c r="H202" i="6" s="1"/>
  <c r="C206" i="6"/>
  <c r="D218" i="6"/>
  <c r="E218" i="6" s="1"/>
  <c r="H218" i="6" s="1"/>
  <c r="C153" i="6"/>
  <c r="D159" i="6"/>
  <c r="E159" i="6" s="1"/>
  <c r="H159" i="6" s="1"/>
  <c r="C169" i="6"/>
  <c r="D174" i="6"/>
  <c r="E174" i="6" s="1"/>
  <c r="H174" i="6" s="1"/>
  <c r="C184" i="6"/>
  <c r="D195" i="6"/>
  <c r="E195" i="6" s="1"/>
  <c r="H195" i="6" s="1"/>
  <c r="D208" i="6"/>
  <c r="E208" i="6" s="1"/>
  <c r="H208" i="6" s="1"/>
  <c r="D210" i="6"/>
  <c r="E210" i="6" s="1"/>
  <c r="H210" i="6" s="1"/>
  <c r="C214" i="6"/>
  <c r="D222" i="6"/>
  <c r="E222" i="6" s="1"/>
  <c r="H222" i="6" s="1"/>
  <c r="D99" i="6"/>
  <c r="E99" i="6" s="1"/>
  <c r="H99" i="6" s="1"/>
  <c r="D111" i="6"/>
  <c r="E111" i="6" s="1"/>
  <c r="H111" i="6" s="1"/>
  <c r="D119" i="6"/>
  <c r="E119" i="6" s="1"/>
  <c r="H119" i="6" s="1"/>
  <c r="D127" i="6"/>
  <c r="E127" i="6" s="1"/>
  <c r="H127" i="6" s="1"/>
  <c r="D135" i="6"/>
  <c r="E135" i="6" s="1"/>
  <c r="H135" i="6" s="1"/>
  <c r="D143" i="6"/>
  <c r="E143" i="6" s="1"/>
  <c r="H143" i="6" s="1"/>
  <c r="C145" i="6"/>
  <c r="D148" i="6"/>
  <c r="E148" i="6" s="1"/>
  <c r="H148" i="6" s="1"/>
  <c r="D151" i="6"/>
  <c r="E151" i="6" s="1"/>
  <c r="H151" i="6" s="1"/>
  <c r="C152" i="6"/>
  <c r="D162" i="6"/>
  <c r="E162" i="6" s="1"/>
  <c r="H162" i="6" s="1"/>
  <c r="D166" i="6"/>
  <c r="E166" i="6" s="1"/>
  <c r="H166" i="6" s="1"/>
  <c r="C176" i="6"/>
  <c r="D180" i="6"/>
  <c r="E180" i="6" s="1"/>
  <c r="H180" i="6" s="1"/>
  <c r="D186" i="6"/>
  <c r="E186" i="6" s="1"/>
  <c r="H186" i="6" s="1"/>
  <c r="C190" i="6"/>
  <c r="D203" i="6"/>
  <c r="E203" i="6" s="1"/>
  <c r="H203" i="6" s="1"/>
  <c r="D216" i="6"/>
  <c r="E216" i="6" s="1"/>
  <c r="H216" i="6" s="1"/>
  <c r="D226" i="6"/>
  <c r="E226" i="6" s="1"/>
  <c r="H226" i="6" s="1"/>
  <c r="C196" i="6"/>
  <c r="C204" i="6"/>
  <c r="C212" i="6"/>
  <c r="C220" i="6"/>
  <c r="D254" i="6"/>
  <c r="E254" i="6" s="1"/>
  <c r="H254" i="6" s="1"/>
  <c r="D149" i="6"/>
  <c r="E149" i="6" s="1"/>
  <c r="H149" i="6" s="1"/>
  <c r="D157" i="6"/>
  <c r="E157" i="6" s="1"/>
  <c r="H157" i="6" s="1"/>
  <c r="D165" i="6"/>
  <c r="E165" i="6" s="1"/>
  <c r="H165" i="6" s="1"/>
  <c r="D173" i="6"/>
  <c r="E173" i="6" s="1"/>
  <c r="H173" i="6" s="1"/>
  <c r="D181" i="6"/>
  <c r="E181" i="6" s="1"/>
  <c r="H181" i="6" s="1"/>
  <c r="D189" i="6"/>
  <c r="E189" i="6" s="1"/>
  <c r="H189" i="6" s="1"/>
  <c r="D191" i="6"/>
  <c r="E191" i="6" s="1"/>
  <c r="H191" i="6" s="1"/>
  <c r="D199" i="6"/>
  <c r="E199" i="6" s="1"/>
  <c r="H199" i="6" s="1"/>
  <c r="D207" i="6"/>
  <c r="E207" i="6" s="1"/>
  <c r="H207" i="6" s="1"/>
  <c r="D215" i="6"/>
  <c r="E215" i="6" s="1"/>
  <c r="H215" i="6" s="1"/>
  <c r="D223" i="6"/>
  <c r="E223" i="6" s="1"/>
  <c r="H223" i="6" s="1"/>
  <c r="D228" i="6"/>
  <c r="E228" i="6" s="1"/>
  <c r="H228" i="6" s="1"/>
  <c r="D229" i="6"/>
  <c r="E229" i="6" s="1"/>
  <c r="H229" i="6" s="1"/>
  <c r="D232" i="6"/>
  <c r="E232" i="6" s="1"/>
  <c r="H232" i="6" s="1"/>
  <c r="D233" i="6"/>
  <c r="E233" i="6" s="1"/>
  <c r="H233" i="6" s="1"/>
  <c r="D236" i="6"/>
  <c r="E236" i="6" s="1"/>
  <c r="H236" i="6" s="1"/>
  <c r="D237" i="6"/>
  <c r="E237" i="6" s="1"/>
  <c r="H237" i="6" s="1"/>
  <c r="D240" i="6"/>
  <c r="E240" i="6" s="1"/>
  <c r="H240" i="6" s="1"/>
  <c r="D241" i="6"/>
  <c r="E241" i="6" s="1"/>
  <c r="H241" i="6" s="1"/>
  <c r="D244" i="6"/>
  <c r="E244" i="6" s="1"/>
  <c r="H244" i="6" s="1"/>
  <c r="D245" i="6"/>
  <c r="E245" i="6" s="1"/>
  <c r="H245" i="6" s="1"/>
  <c r="D248" i="6"/>
  <c r="E248" i="6" s="1"/>
  <c r="H248" i="6" s="1"/>
  <c r="D249" i="6"/>
  <c r="E249" i="6" s="1"/>
  <c r="H249" i="6" s="1"/>
  <c r="D252" i="6"/>
  <c r="E252" i="6" s="1"/>
  <c r="H252" i="6" s="1"/>
  <c r="D253" i="6"/>
  <c r="E253" i="6" s="1"/>
  <c r="H253" i="6" s="1"/>
  <c r="D219" i="6"/>
  <c r="E219" i="6" s="1"/>
  <c r="H219" i="6" s="1"/>
  <c r="D227" i="6"/>
  <c r="E227" i="6" s="1"/>
  <c r="H227" i="6" s="1"/>
  <c r="D230" i="6"/>
  <c r="E230" i="6" s="1"/>
  <c r="H230" i="6" s="1"/>
  <c r="D231" i="6"/>
  <c r="E231" i="6" s="1"/>
  <c r="H231" i="6" s="1"/>
  <c r="D234" i="6"/>
  <c r="E234" i="6" s="1"/>
  <c r="H234" i="6" s="1"/>
  <c r="D235" i="6"/>
  <c r="E235" i="6" s="1"/>
  <c r="H235" i="6" s="1"/>
  <c r="D238" i="6"/>
  <c r="E238" i="6" s="1"/>
  <c r="H238" i="6" s="1"/>
  <c r="D239" i="6"/>
  <c r="E239" i="6" s="1"/>
  <c r="H239" i="6" s="1"/>
  <c r="D242" i="6"/>
  <c r="E242" i="6" s="1"/>
  <c r="H242" i="6" s="1"/>
  <c r="D243" i="6"/>
  <c r="E243" i="6" s="1"/>
  <c r="H243" i="6" s="1"/>
  <c r="D246" i="6"/>
  <c r="E246" i="6" s="1"/>
  <c r="H246" i="6" s="1"/>
  <c r="D247" i="6"/>
  <c r="E247" i="6" s="1"/>
  <c r="H247" i="6" s="1"/>
  <c r="D250" i="6"/>
  <c r="E250" i="6" s="1"/>
  <c r="H250" i="6" s="1"/>
  <c r="D251" i="6"/>
  <c r="E251" i="6" s="1"/>
  <c r="H251" i="6" s="1"/>
  <c r="C256" i="6"/>
  <c r="C258" i="6"/>
  <c r="C260" i="6"/>
  <c r="C262" i="6"/>
  <c r="C264" i="6"/>
  <c r="C266" i="6"/>
  <c r="C268" i="6"/>
  <c r="C270" i="6"/>
  <c r="C272" i="6"/>
  <c r="C278" i="6"/>
  <c r="D284" i="6"/>
  <c r="E284" i="6" s="1"/>
  <c r="H284" i="6" s="1"/>
  <c r="C295" i="6"/>
  <c r="D304" i="6"/>
  <c r="E304" i="6" s="1"/>
  <c r="H304" i="6" s="1"/>
  <c r="D320" i="6"/>
  <c r="E320" i="6" s="1"/>
  <c r="H320" i="6" s="1"/>
  <c r="D280" i="6"/>
  <c r="E280" i="6" s="1"/>
  <c r="H280" i="6" s="1"/>
  <c r="C286" i="6"/>
  <c r="D292" i="6"/>
  <c r="E292" i="6" s="1"/>
  <c r="H292" i="6" s="1"/>
  <c r="C303" i="6"/>
  <c r="C279" i="6"/>
  <c r="D288" i="6"/>
  <c r="E288" i="6" s="1"/>
  <c r="H288" i="6" s="1"/>
  <c r="C294" i="6"/>
  <c r="D300" i="6"/>
  <c r="E300" i="6" s="1"/>
  <c r="H300" i="6" s="1"/>
  <c r="D312" i="6"/>
  <c r="E312" i="6" s="1"/>
  <c r="H312" i="6" s="1"/>
  <c r="D274" i="6"/>
  <c r="E274" i="6" s="1"/>
  <c r="H274" i="6" s="1"/>
  <c r="D276" i="6"/>
  <c r="E276" i="6" s="1"/>
  <c r="H276" i="6" s="1"/>
  <c r="C287" i="6"/>
  <c r="D296" i="6"/>
  <c r="E296" i="6" s="1"/>
  <c r="H296" i="6" s="1"/>
  <c r="C302" i="6"/>
  <c r="C308" i="6"/>
  <c r="C316" i="6"/>
  <c r="C324" i="6"/>
  <c r="D333" i="6"/>
  <c r="E333" i="6" s="1"/>
  <c r="H333" i="6" s="1"/>
  <c r="D335" i="6"/>
  <c r="E335" i="6" s="1"/>
  <c r="H335" i="6" s="1"/>
  <c r="D337" i="6"/>
  <c r="E337" i="6" s="1"/>
  <c r="H337" i="6" s="1"/>
  <c r="D339" i="6"/>
  <c r="E339" i="6" s="1"/>
  <c r="H339" i="6" s="1"/>
  <c r="D341" i="6"/>
  <c r="E341" i="6" s="1"/>
  <c r="H341" i="6" s="1"/>
  <c r="D343" i="6"/>
  <c r="E343" i="6" s="1"/>
  <c r="H343" i="6" s="1"/>
  <c r="D277" i="6"/>
  <c r="E277" i="6" s="1"/>
  <c r="H277" i="6" s="1"/>
  <c r="D285" i="6"/>
  <c r="E285" i="6" s="1"/>
  <c r="H285" i="6" s="1"/>
  <c r="D293" i="6"/>
  <c r="E293" i="6" s="1"/>
  <c r="H293" i="6" s="1"/>
  <c r="D301" i="6"/>
  <c r="E301" i="6" s="1"/>
  <c r="H301" i="6" s="1"/>
  <c r="C306" i="6"/>
  <c r="D311" i="6"/>
  <c r="E311" i="6" s="1"/>
  <c r="H311" i="6" s="1"/>
  <c r="C314" i="6"/>
  <c r="D319" i="6"/>
  <c r="E319" i="6" s="1"/>
  <c r="H319" i="6" s="1"/>
  <c r="C322" i="6"/>
  <c r="D330" i="6"/>
  <c r="E330" i="6" s="1"/>
  <c r="H330" i="6" s="1"/>
  <c r="E331" i="6"/>
  <c r="H331" i="6" s="1"/>
  <c r="D309" i="6"/>
  <c r="E309" i="6" s="1"/>
  <c r="H309" i="6" s="1"/>
  <c r="D317" i="6"/>
  <c r="E317" i="6" s="1"/>
  <c r="H317" i="6" s="1"/>
  <c r="D325" i="6"/>
  <c r="E325" i="6" s="1"/>
  <c r="H325" i="6" s="1"/>
  <c r="D328" i="6"/>
  <c r="E328" i="6" s="1"/>
  <c r="H328" i="6" s="1"/>
  <c r="E329" i="6"/>
  <c r="H329" i="6" s="1"/>
  <c r="D360" i="6"/>
  <c r="E360" i="6" s="1"/>
  <c r="H360" i="6" s="1"/>
  <c r="D359" i="6"/>
  <c r="E359" i="6" s="1"/>
  <c r="H359" i="6" s="1"/>
  <c r="D362" i="6"/>
  <c r="E362" i="6" s="1"/>
  <c r="H362" i="6" s="1"/>
  <c r="C367" i="6"/>
  <c r="C369" i="6"/>
  <c r="C371" i="6"/>
  <c r="C373" i="6"/>
  <c r="C375" i="6"/>
  <c r="C377" i="6"/>
  <c r="C379" i="6"/>
  <c r="C381" i="6"/>
  <c r="C383" i="6"/>
  <c r="C385" i="6"/>
  <c r="C387" i="6"/>
  <c r="C389" i="6"/>
  <c r="C391" i="6"/>
  <c r="C393" i="6"/>
  <c r="C395" i="6"/>
  <c r="C397" i="6"/>
  <c r="C399" i="6"/>
  <c r="C401" i="6"/>
  <c r="F317" i="1"/>
  <c r="F153" i="1"/>
  <c r="F341" i="1"/>
  <c r="F277" i="1"/>
  <c r="F137" i="1"/>
  <c r="F89" i="1"/>
  <c r="F131" i="1"/>
  <c r="F67" i="1"/>
  <c r="G341" i="1"/>
  <c r="F357" i="1"/>
  <c r="F233" i="1"/>
  <c r="F179" i="1"/>
  <c r="F147" i="1"/>
  <c r="F343" i="1"/>
  <c r="F142" i="1"/>
  <c r="F326" i="1"/>
  <c r="F206" i="1"/>
  <c r="F185" i="1"/>
  <c r="G277" i="1"/>
  <c r="F349" i="1"/>
  <c r="F333" i="1"/>
  <c r="F301" i="1"/>
  <c r="F269" i="1"/>
  <c r="F217" i="1"/>
  <c r="F126" i="1"/>
  <c r="F62" i="1"/>
  <c r="F381" i="1"/>
  <c r="F346" i="1"/>
  <c r="F293" i="1"/>
  <c r="F261" i="1"/>
  <c r="F82" i="1"/>
  <c r="F365" i="1"/>
  <c r="F325" i="1"/>
  <c r="F285" i="1"/>
  <c r="F249" i="1"/>
  <c r="F201" i="1"/>
  <c r="G185" i="1"/>
  <c r="F318" i="1"/>
  <c r="G346" i="1"/>
  <c r="F394" i="1"/>
  <c r="F282" i="1"/>
  <c r="F255" i="1"/>
  <c r="F183" i="1"/>
  <c r="D183" i="1"/>
  <c r="G183" i="1" s="1"/>
  <c r="D167" i="1"/>
  <c r="G167" i="1" s="1"/>
  <c r="F167" i="1"/>
  <c r="F399" i="1"/>
  <c r="F327" i="1"/>
  <c r="F303" i="1"/>
  <c r="F287" i="1"/>
  <c r="F278" i="1"/>
  <c r="F267" i="1"/>
  <c r="F243" i="1"/>
  <c r="F211" i="1"/>
  <c r="D78" i="1"/>
  <c r="E78" i="1" s="1"/>
  <c r="H78" i="1" s="1"/>
  <c r="F355" i="1"/>
  <c r="F311" i="1"/>
  <c r="F299" i="1"/>
  <c r="F283" i="1"/>
  <c r="F271" i="1"/>
  <c r="F227" i="1"/>
  <c r="G115" i="1"/>
  <c r="F371" i="1"/>
  <c r="F323" i="1"/>
  <c r="F306" i="1"/>
  <c r="F195" i="1"/>
  <c r="F178" i="1"/>
  <c r="F157" i="1"/>
  <c r="F115" i="1"/>
  <c r="F83" i="1"/>
  <c r="D231" i="1"/>
  <c r="E231" i="1" s="1"/>
  <c r="H231" i="1" s="1"/>
  <c r="F231" i="1"/>
  <c r="D119" i="1"/>
  <c r="G119" i="1" s="1"/>
  <c r="F119" i="1"/>
  <c r="G326" i="1"/>
  <c r="G122" i="1"/>
  <c r="F359" i="1"/>
  <c r="F339" i="1"/>
  <c r="F315" i="1"/>
  <c r="F222" i="1"/>
  <c r="F165" i="1"/>
  <c r="F110" i="1"/>
  <c r="F87" i="1"/>
  <c r="G358" i="1"/>
  <c r="G310" i="1"/>
  <c r="F358" i="1"/>
  <c r="F133" i="1"/>
  <c r="D254" i="1"/>
  <c r="E254" i="1" s="1"/>
  <c r="H254" i="1" s="1"/>
  <c r="F221" i="1"/>
  <c r="G261" i="1"/>
  <c r="G89" i="1"/>
  <c r="F342" i="1"/>
  <c r="F330" i="1"/>
  <c r="F286" i="1"/>
  <c r="F101" i="1"/>
  <c r="G57" i="1"/>
  <c r="F310" i="1"/>
  <c r="D135" i="1"/>
  <c r="E135" i="1" s="1"/>
  <c r="H135" i="1" s="1"/>
  <c r="F135" i="1"/>
  <c r="D71" i="1"/>
  <c r="E71" i="1" s="1"/>
  <c r="H71" i="1" s="1"/>
  <c r="F71" i="1"/>
  <c r="F294" i="1"/>
  <c r="D362" i="1"/>
  <c r="E362" i="1" s="1"/>
  <c r="H362" i="1" s="1"/>
  <c r="G294" i="1"/>
  <c r="G105" i="1"/>
  <c r="F395" i="1"/>
  <c r="F362" i="1"/>
  <c r="F174" i="1"/>
  <c r="F151" i="1"/>
  <c r="F103" i="1"/>
  <c r="F94" i="1"/>
  <c r="F69" i="1"/>
  <c r="E73" i="1"/>
  <c r="H73" i="1" s="1"/>
  <c r="G301" i="1"/>
  <c r="G133" i="1"/>
  <c r="F374" i="1"/>
  <c r="F350" i="1"/>
  <c r="D370" i="1"/>
  <c r="E370" i="1" s="1"/>
  <c r="H370" i="1" s="1"/>
  <c r="D158" i="1"/>
  <c r="E158" i="1" s="1"/>
  <c r="H158" i="1" s="1"/>
  <c r="E333" i="1"/>
  <c r="H333" i="1" s="1"/>
  <c r="G333" i="1"/>
  <c r="E269" i="1"/>
  <c r="H269" i="1" s="1"/>
  <c r="G269" i="1"/>
  <c r="D181" i="1"/>
  <c r="G181" i="1" s="1"/>
  <c r="F181" i="1"/>
  <c r="D149" i="1"/>
  <c r="E149" i="1" s="1"/>
  <c r="H149" i="1" s="1"/>
  <c r="F149" i="1"/>
  <c r="D117" i="1"/>
  <c r="F117" i="1"/>
  <c r="D85" i="1"/>
  <c r="E85" i="1" s="1"/>
  <c r="H85" i="1" s="1"/>
  <c r="F85" i="1"/>
  <c r="G201" i="1"/>
  <c r="G142" i="1"/>
  <c r="G317" i="1"/>
  <c r="G314" i="1"/>
  <c r="G282" i="1"/>
  <c r="G227" i="1"/>
  <c r="G69" i="1"/>
  <c r="F314" i="1"/>
  <c r="F190" i="1"/>
  <c r="D302" i="1"/>
  <c r="E302" i="1" s="1"/>
  <c r="H302" i="1" s="1"/>
  <c r="F93" i="1"/>
  <c r="F238" i="1"/>
  <c r="G249" i="1"/>
  <c r="G290" i="1"/>
  <c r="F334" i="1"/>
  <c r="F290" i="1"/>
  <c r="F253" i="1"/>
  <c r="D322" i="1"/>
  <c r="E322" i="1" s="1"/>
  <c r="H322" i="1" s="1"/>
  <c r="G211" i="1"/>
  <c r="G74" i="1"/>
  <c r="F398" i="1"/>
  <c r="F386" i="1"/>
  <c r="F189" i="1"/>
  <c r="F125" i="1"/>
  <c r="F61" i="1"/>
  <c r="E330" i="1"/>
  <c r="H330" i="1" s="1"/>
  <c r="D298" i="1"/>
  <c r="G238" i="1"/>
  <c r="G137" i="1"/>
  <c r="F366" i="1"/>
  <c r="F270" i="1"/>
  <c r="F138" i="1"/>
  <c r="F74" i="1"/>
  <c r="E354" i="1"/>
  <c r="H354" i="1" s="1"/>
  <c r="G354" i="1"/>
  <c r="E189" i="1"/>
  <c r="H189" i="1" s="1"/>
  <c r="G189" i="1"/>
  <c r="E266" i="1"/>
  <c r="H266" i="1" s="1"/>
  <c r="G266" i="1"/>
  <c r="D247" i="1"/>
  <c r="E247" i="1" s="1"/>
  <c r="H247" i="1" s="1"/>
  <c r="F247" i="1"/>
  <c r="D215" i="1"/>
  <c r="E215" i="1" s="1"/>
  <c r="H215" i="1" s="1"/>
  <c r="F215" i="1"/>
  <c r="E178" i="1"/>
  <c r="H178" i="1" s="1"/>
  <c r="G178" i="1"/>
  <c r="E82" i="1"/>
  <c r="H82" i="1" s="1"/>
  <c r="G82" i="1"/>
  <c r="G318" i="1"/>
  <c r="G243" i="1"/>
  <c r="G217" i="1"/>
  <c r="G195" i="1"/>
  <c r="G179" i="1"/>
  <c r="G153" i="1"/>
  <c r="G138" i="1"/>
  <c r="G121" i="1"/>
  <c r="G94" i="1"/>
  <c r="G62" i="1"/>
  <c r="F354" i="1"/>
  <c r="F338" i="1"/>
  <c r="F266" i="1"/>
  <c r="F237" i="1"/>
  <c r="F226" i="1"/>
  <c r="F210" i="1"/>
  <c r="F199" i="1"/>
  <c r="F162" i="1"/>
  <c r="F141" i="1"/>
  <c r="F98" i="1"/>
  <c r="F77" i="1"/>
  <c r="E349" i="1"/>
  <c r="H349" i="1" s="1"/>
  <c r="E174" i="1"/>
  <c r="H174" i="1" s="1"/>
  <c r="E110" i="1"/>
  <c r="H110" i="1" s="1"/>
  <c r="D242" i="1"/>
  <c r="G242" i="1" s="1"/>
  <c r="D146" i="1"/>
  <c r="E146" i="1" s="1"/>
  <c r="H146" i="1" s="1"/>
  <c r="D114" i="1"/>
  <c r="E114" i="1" s="1"/>
  <c r="H114" i="1" s="1"/>
  <c r="D274" i="1"/>
  <c r="E274" i="1" s="1"/>
  <c r="H274" i="1" s="1"/>
  <c r="G394" i="1"/>
  <c r="G233" i="1"/>
  <c r="G206" i="1"/>
  <c r="G186" i="1"/>
  <c r="G169" i="1"/>
  <c r="F258" i="1"/>
  <c r="F205" i="1"/>
  <c r="F194" i="1"/>
  <c r="F186" i="1"/>
  <c r="F173" i="1"/>
  <c r="F130" i="1"/>
  <c r="F122" i="1"/>
  <c r="F109" i="1"/>
  <c r="G237" i="1"/>
  <c r="E270" i="1"/>
  <c r="H270" i="1" s="1"/>
  <c r="F401" i="1"/>
  <c r="E205" i="1"/>
  <c r="H205" i="1" s="1"/>
  <c r="G98" i="1"/>
  <c r="E398" i="1"/>
  <c r="H398" i="1" s="1"/>
  <c r="G398" i="1"/>
  <c r="E374" i="1"/>
  <c r="H374" i="1" s="1"/>
  <c r="G374" i="1"/>
  <c r="E342" i="1"/>
  <c r="H342" i="1" s="1"/>
  <c r="G342" i="1"/>
  <c r="G162" i="1"/>
  <c r="F393" i="1"/>
  <c r="E226" i="1"/>
  <c r="H226" i="1" s="1"/>
  <c r="G401" i="1"/>
  <c r="G338" i="1"/>
  <c r="G306" i="1"/>
  <c r="G293" i="1"/>
  <c r="G194" i="1"/>
  <c r="G130" i="1"/>
  <c r="E222" i="1"/>
  <c r="H222" i="1" s="1"/>
  <c r="G258" i="1"/>
  <c r="E285" i="1"/>
  <c r="H285" i="1" s="1"/>
  <c r="G285" i="1"/>
  <c r="D361" i="1"/>
  <c r="E361" i="1" s="1"/>
  <c r="H361" i="1" s="1"/>
  <c r="F361" i="1"/>
  <c r="D337" i="1"/>
  <c r="E337" i="1" s="1"/>
  <c r="H337" i="1" s="1"/>
  <c r="F337" i="1"/>
  <c r="F297" i="1"/>
  <c r="F273" i="1"/>
  <c r="D177" i="1"/>
  <c r="E177" i="1" s="1"/>
  <c r="H177" i="1" s="1"/>
  <c r="F177" i="1"/>
  <c r="D81" i="1"/>
  <c r="E81" i="1" s="1"/>
  <c r="H81" i="1" s="1"/>
  <c r="F81" i="1"/>
  <c r="D65" i="1"/>
  <c r="E65" i="1" s="1"/>
  <c r="H65" i="1" s="1"/>
  <c r="G161" i="1"/>
  <c r="F97" i="1"/>
  <c r="E61" i="1"/>
  <c r="H61" i="1" s="1"/>
  <c r="D297" i="1"/>
  <c r="E297" i="1" s="1"/>
  <c r="H297" i="1" s="1"/>
  <c r="E147" i="1"/>
  <c r="H147" i="1" s="1"/>
  <c r="G147" i="1"/>
  <c r="E83" i="1"/>
  <c r="H83" i="1" s="1"/>
  <c r="G83" i="1"/>
  <c r="F382" i="1"/>
  <c r="D382" i="1"/>
  <c r="E382" i="1" s="1"/>
  <c r="H382" i="1" s="1"/>
  <c r="E350" i="1"/>
  <c r="H350" i="1" s="1"/>
  <c r="G350" i="1"/>
  <c r="E286" i="1"/>
  <c r="H286" i="1" s="1"/>
  <c r="G286" i="1"/>
  <c r="E278" i="1"/>
  <c r="H278" i="1" s="1"/>
  <c r="G278" i="1"/>
  <c r="E165" i="1"/>
  <c r="H165" i="1" s="1"/>
  <c r="G165" i="1"/>
  <c r="G101" i="1"/>
  <c r="E101" i="1"/>
  <c r="H101" i="1" s="1"/>
  <c r="G334" i="1"/>
  <c r="E334" i="1"/>
  <c r="H334" i="1" s="1"/>
  <c r="E141" i="1"/>
  <c r="H141" i="1" s="1"/>
  <c r="G141" i="1"/>
  <c r="D377" i="1"/>
  <c r="E377" i="1" s="1"/>
  <c r="H377" i="1" s="1"/>
  <c r="F377" i="1"/>
  <c r="D353" i="1"/>
  <c r="E353" i="1" s="1"/>
  <c r="H353" i="1" s="1"/>
  <c r="F353" i="1"/>
  <c r="D329" i="1"/>
  <c r="E329" i="1" s="1"/>
  <c r="H329" i="1" s="1"/>
  <c r="F329" i="1"/>
  <c r="F305" i="1"/>
  <c r="G305" i="1"/>
  <c r="D289" i="1"/>
  <c r="E289" i="1" s="1"/>
  <c r="H289" i="1" s="1"/>
  <c r="F289" i="1"/>
  <c r="F281" i="1"/>
  <c r="D281" i="1"/>
  <c r="E281" i="1" s="1"/>
  <c r="H281" i="1" s="1"/>
  <c r="D113" i="1"/>
  <c r="E113" i="1" s="1"/>
  <c r="H113" i="1" s="1"/>
  <c r="F113" i="1"/>
  <c r="G97" i="1"/>
  <c r="G357" i="1"/>
  <c r="E357" i="1"/>
  <c r="H357" i="1" s="1"/>
  <c r="G173" i="1"/>
  <c r="E173" i="1"/>
  <c r="H173" i="1" s="1"/>
  <c r="E109" i="1"/>
  <c r="H109" i="1" s="1"/>
  <c r="G109" i="1"/>
  <c r="D369" i="1"/>
  <c r="E369" i="1" s="1"/>
  <c r="H369" i="1" s="1"/>
  <c r="F369" i="1"/>
  <c r="F345" i="1"/>
  <c r="G345" i="1"/>
  <c r="F313" i="1"/>
  <c r="D145" i="1"/>
  <c r="E145" i="1" s="1"/>
  <c r="H145" i="1" s="1"/>
  <c r="F145" i="1"/>
  <c r="D129" i="1"/>
  <c r="E129" i="1" s="1"/>
  <c r="H129" i="1" s="1"/>
  <c r="G386" i="1"/>
  <c r="F129" i="1"/>
  <c r="D313" i="1"/>
  <c r="E313" i="1" s="1"/>
  <c r="H313" i="1" s="1"/>
  <c r="D273" i="1"/>
  <c r="E273" i="1" s="1"/>
  <c r="H273" i="1" s="1"/>
  <c r="D265" i="1"/>
  <c r="E265" i="1" s="1"/>
  <c r="H265" i="1" s="1"/>
  <c r="E221" i="1"/>
  <c r="H221" i="1" s="1"/>
  <c r="G221" i="1"/>
  <c r="E210" i="1"/>
  <c r="H210" i="1" s="1"/>
  <c r="G210" i="1"/>
  <c r="E199" i="1"/>
  <c r="H199" i="1" s="1"/>
  <c r="G199" i="1"/>
  <c r="G157" i="1"/>
  <c r="E157" i="1"/>
  <c r="H157" i="1" s="1"/>
  <c r="E93" i="1"/>
  <c r="H93" i="1" s="1"/>
  <c r="G93" i="1"/>
  <c r="F397" i="1"/>
  <c r="G397" i="1"/>
  <c r="D389" i="1"/>
  <c r="E389" i="1" s="1"/>
  <c r="H389" i="1" s="1"/>
  <c r="F389" i="1"/>
  <c r="E381" i="1"/>
  <c r="H381" i="1" s="1"/>
  <c r="G381" i="1"/>
  <c r="G253" i="1"/>
  <c r="G125" i="1"/>
  <c r="F161" i="1"/>
  <c r="E77" i="1"/>
  <c r="H77" i="1" s="1"/>
  <c r="G365" i="1"/>
  <c r="E365" i="1"/>
  <c r="H365" i="1" s="1"/>
  <c r="E325" i="1"/>
  <c r="H325" i="1" s="1"/>
  <c r="G325" i="1"/>
  <c r="E163" i="1"/>
  <c r="H163" i="1" s="1"/>
  <c r="G163" i="1"/>
  <c r="E131" i="1"/>
  <c r="H131" i="1" s="1"/>
  <c r="G131" i="1"/>
  <c r="E99" i="1"/>
  <c r="H99" i="1" s="1"/>
  <c r="G99" i="1"/>
  <c r="E67" i="1"/>
  <c r="H67" i="1" s="1"/>
  <c r="G67" i="1"/>
  <c r="D241" i="1"/>
  <c r="E241" i="1" s="1"/>
  <c r="H241" i="1" s="1"/>
  <c r="F241" i="1"/>
  <c r="D219" i="1"/>
  <c r="E219" i="1" s="1"/>
  <c r="H219" i="1" s="1"/>
  <c r="F219" i="1"/>
  <c r="D203" i="1"/>
  <c r="E203" i="1" s="1"/>
  <c r="H203" i="1" s="1"/>
  <c r="D193" i="1"/>
  <c r="E193" i="1" s="1"/>
  <c r="H193" i="1" s="1"/>
  <c r="F193" i="1"/>
  <c r="D171" i="1"/>
  <c r="E171" i="1" s="1"/>
  <c r="H171" i="1" s="1"/>
  <c r="F171" i="1"/>
  <c r="D150" i="1"/>
  <c r="E150" i="1" s="1"/>
  <c r="H150" i="1" s="1"/>
  <c r="F150" i="1"/>
  <c r="D123" i="1"/>
  <c r="E123" i="1" s="1"/>
  <c r="H123" i="1" s="1"/>
  <c r="F123" i="1"/>
  <c r="D91" i="1"/>
  <c r="E91" i="1" s="1"/>
  <c r="H91" i="1" s="1"/>
  <c r="F91" i="1"/>
  <c r="D70" i="1"/>
  <c r="E70" i="1" s="1"/>
  <c r="H70" i="1" s="1"/>
  <c r="F70" i="1"/>
  <c r="C396" i="1"/>
  <c r="F396" i="1" s="1"/>
  <c r="C384" i="1"/>
  <c r="C372" i="1"/>
  <c r="F372" i="1" s="1"/>
  <c r="C360" i="1"/>
  <c r="C348" i="1"/>
  <c r="F348" i="1" s="1"/>
  <c r="C336" i="1"/>
  <c r="C324" i="1"/>
  <c r="F324" i="1" s="1"/>
  <c r="C312" i="1"/>
  <c r="C300" i="1"/>
  <c r="F300" i="1" s="1"/>
  <c r="C284" i="1"/>
  <c r="C272" i="1"/>
  <c r="F272" i="1" s="1"/>
  <c r="C260" i="1"/>
  <c r="C248" i="1"/>
  <c r="F248" i="1" s="1"/>
  <c r="C236" i="1"/>
  <c r="C224" i="1"/>
  <c r="F224" i="1" s="1"/>
  <c r="C212" i="1"/>
  <c r="C200" i="1"/>
  <c r="F200" i="1" s="1"/>
  <c r="C192" i="1"/>
  <c r="C180" i="1"/>
  <c r="F180" i="1" s="1"/>
  <c r="C168" i="1"/>
  <c r="C156" i="1"/>
  <c r="F156" i="1" s="1"/>
  <c r="C136" i="1"/>
  <c r="C124" i="1"/>
  <c r="F124" i="1" s="1"/>
  <c r="C112" i="1"/>
  <c r="C100" i="1"/>
  <c r="F100" i="1" s="1"/>
  <c r="C88" i="1"/>
  <c r="C68" i="1"/>
  <c r="F68" i="1" s="1"/>
  <c r="D257" i="1"/>
  <c r="E257" i="1" s="1"/>
  <c r="H257" i="1" s="1"/>
  <c r="F257" i="1"/>
  <c r="D246" i="1"/>
  <c r="E246" i="1" s="1"/>
  <c r="H246" i="1" s="1"/>
  <c r="F246" i="1"/>
  <c r="D230" i="1"/>
  <c r="F230" i="1"/>
  <c r="D214" i="1"/>
  <c r="E214" i="1" s="1"/>
  <c r="H214" i="1" s="1"/>
  <c r="F214" i="1"/>
  <c r="D198" i="1"/>
  <c r="E198" i="1" s="1"/>
  <c r="H198" i="1" s="1"/>
  <c r="F198" i="1"/>
  <c r="D182" i="1"/>
  <c r="E182" i="1" s="1"/>
  <c r="H182" i="1" s="1"/>
  <c r="F182" i="1"/>
  <c r="D155" i="1"/>
  <c r="E155" i="1" s="1"/>
  <c r="H155" i="1" s="1"/>
  <c r="F155" i="1"/>
  <c r="D134" i="1"/>
  <c r="E134" i="1" s="1"/>
  <c r="H134" i="1" s="1"/>
  <c r="F134" i="1"/>
  <c r="D107" i="1"/>
  <c r="E107" i="1" s="1"/>
  <c r="H107" i="1" s="1"/>
  <c r="F107" i="1"/>
  <c r="D86" i="1"/>
  <c r="E86" i="1" s="1"/>
  <c r="H86" i="1" s="1"/>
  <c r="F86" i="1"/>
  <c r="D59" i="1"/>
  <c r="E59" i="1" s="1"/>
  <c r="H59" i="1" s="1"/>
  <c r="F59" i="1"/>
  <c r="C392" i="1"/>
  <c r="F392" i="1" s="1"/>
  <c r="C376" i="1"/>
  <c r="C364" i="1"/>
  <c r="F364" i="1" s="1"/>
  <c r="C352" i="1"/>
  <c r="C340" i="1"/>
  <c r="F340" i="1" s="1"/>
  <c r="C328" i="1"/>
  <c r="C316" i="1"/>
  <c r="F316" i="1" s="1"/>
  <c r="C304" i="1"/>
  <c r="C292" i="1"/>
  <c r="F292" i="1" s="1"/>
  <c r="C280" i="1"/>
  <c r="C268" i="1"/>
  <c r="F268" i="1" s="1"/>
  <c r="C256" i="1"/>
  <c r="C244" i="1"/>
  <c r="F244" i="1" s="1"/>
  <c r="C232" i="1"/>
  <c r="C216" i="1"/>
  <c r="F216" i="1" s="1"/>
  <c r="C204" i="1"/>
  <c r="C188" i="1"/>
  <c r="F188" i="1" s="1"/>
  <c r="C176" i="1"/>
  <c r="C164" i="1"/>
  <c r="F164" i="1" s="1"/>
  <c r="C152" i="1"/>
  <c r="C140" i="1"/>
  <c r="F140" i="1" s="1"/>
  <c r="C128" i="1"/>
  <c r="C116" i="1"/>
  <c r="F116" i="1" s="1"/>
  <c r="C104" i="1"/>
  <c r="C96" i="1"/>
  <c r="F96" i="1" s="1"/>
  <c r="C84" i="1"/>
  <c r="C76" i="1"/>
  <c r="F76" i="1" s="1"/>
  <c r="C64" i="1"/>
  <c r="G393" i="1"/>
  <c r="E366" i="1"/>
  <c r="H366" i="1" s="1"/>
  <c r="G366" i="1"/>
  <c r="D251" i="1"/>
  <c r="E251" i="1" s="1"/>
  <c r="H251" i="1" s="1"/>
  <c r="D235" i="1"/>
  <c r="E235" i="1" s="1"/>
  <c r="H235" i="1" s="1"/>
  <c r="D225" i="1"/>
  <c r="E225" i="1" s="1"/>
  <c r="H225" i="1" s="1"/>
  <c r="F225" i="1"/>
  <c r="D209" i="1"/>
  <c r="E209" i="1" s="1"/>
  <c r="H209" i="1" s="1"/>
  <c r="F209" i="1"/>
  <c r="D187" i="1"/>
  <c r="E187" i="1" s="1"/>
  <c r="H187" i="1" s="1"/>
  <c r="F187" i="1"/>
  <c r="D166" i="1"/>
  <c r="F166" i="1"/>
  <c r="D139" i="1"/>
  <c r="E139" i="1" s="1"/>
  <c r="H139" i="1" s="1"/>
  <c r="F139" i="1"/>
  <c r="D118" i="1"/>
  <c r="E118" i="1" s="1"/>
  <c r="H118" i="1" s="1"/>
  <c r="F118" i="1"/>
  <c r="D102" i="1"/>
  <c r="E102" i="1" s="1"/>
  <c r="H102" i="1" s="1"/>
  <c r="F102" i="1"/>
  <c r="D75" i="1"/>
  <c r="E75" i="1" s="1"/>
  <c r="H75" i="1" s="1"/>
  <c r="F75" i="1"/>
  <c r="C400" i="1"/>
  <c r="F400" i="1" s="1"/>
  <c r="C388" i="1"/>
  <c r="C380" i="1"/>
  <c r="F380" i="1" s="1"/>
  <c r="C368" i="1"/>
  <c r="C356" i="1"/>
  <c r="F356" i="1" s="1"/>
  <c r="C344" i="1"/>
  <c r="C332" i="1"/>
  <c r="F332" i="1" s="1"/>
  <c r="C320" i="1"/>
  <c r="C308" i="1"/>
  <c r="F308" i="1" s="1"/>
  <c r="C296" i="1"/>
  <c r="C288" i="1"/>
  <c r="F288" i="1" s="1"/>
  <c r="C276" i="1"/>
  <c r="C264" i="1"/>
  <c r="F264" i="1" s="1"/>
  <c r="C252" i="1"/>
  <c r="C240" i="1"/>
  <c r="F240" i="1" s="1"/>
  <c r="C228" i="1"/>
  <c r="C220" i="1"/>
  <c r="F220" i="1" s="1"/>
  <c r="C208" i="1"/>
  <c r="C196" i="1"/>
  <c r="F196" i="1" s="1"/>
  <c r="C184" i="1"/>
  <c r="C172" i="1"/>
  <c r="F172" i="1" s="1"/>
  <c r="C160" i="1"/>
  <c r="C148" i="1"/>
  <c r="F148" i="1" s="1"/>
  <c r="C144" i="1"/>
  <c r="C132" i="1"/>
  <c r="F132" i="1" s="1"/>
  <c r="C120" i="1"/>
  <c r="C108" i="1"/>
  <c r="F108" i="1" s="1"/>
  <c r="C92" i="1"/>
  <c r="C80" i="1"/>
  <c r="F80" i="1" s="1"/>
  <c r="C72" i="1"/>
  <c r="C60" i="1"/>
  <c r="F60" i="1" s="1"/>
  <c r="F203" i="1"/>
  <c r="D262" i="1"/>
  <c r="E262" i="1" s="1"/>
  <c r="H262" i="1" s="1"/>
  <c r="D255" i="1"/>
  <c r="E255" i="1" s="1"/>
  <c r="H255" i="1" s="1"/>
  <c r="D250" i="1"/>
  <c r="E250" i="1" s="1"/>
  <c r="H250" i="1" s="1"/>
  <c r="D245" i="1"/>
  <c r="E245" i="1" s="1"/>
  <c r="H245" i="1" s="1"/>
  <c r="F245" i="1"/>
  <c r="D239" i="1"/>
  <c r="E239" i="1" s="1"/>
  <c r="H239" i="1" s="1"/>
  <c r="F239" i="1"/>
  <c r="D234" i="1"/>
  <c r="F234" i="1"/>
  <c r="D229" i="1"/>
  <c r="F229" i="1"/>
  <c r="D223" i="1"/>
  <c r="E223" i="1" s="1"/>
  <c r="H223" i="1" s="1"/>
  <c r="D218" i="1"/>
  <c r="E218" i="1" s="1"/>
  <c r="H218" i="1" s="1"/>
  <c r="D213" i="1"/>
  <c r="E213" i="1" s="1"/>
  <c r="H213" i="1" s="1"/>
  <c r="F213" i="1"/>
  <c r="D207" i="1"/>
  <c r="E207" i="1" s="1"/>
  <c r="H207" i="1" s="1"/>
  <c r="F207" i="1"/>
  <c r="D202" i="1"/>
  <c r="E202" i="1" s="1"/>
  <c r="H202" i="1" s="1"/>
  <c r="F202" i="1"/>
  <c r="D197" i="1"/>
  <c r="F197" i="1"/>
  <c r="D191" i="1"/>
  <c r="E191" i="1" s="1"/>
  <c r="H191" i="1" s="1"/>
  <c r="D175" i="1"/>
  <c r="E175" i="1" s="1"/>
  <c r="H175" i="1" s="1"/>
  <c r="D170" i="1"/>
  <c r="E170" i="1" s="1"/>
  <c r="H170" i="1" s="1"/>
  <c r="D159" i="1"/>
  <c r="E159" i="1" s="1"/>
  <c r="H159" i="1" s="1"/>
  <c r="D154" i="1"/>
  <c r="E154" i="1" s="1"/>
  <c r="H154" i="1" s="1"/>
  <c r="D143" i="1"/>
  <c r="E143" i="1" s="1"/>
  <c r="H143" i="1" s="1"/>
  <c r="D127" i="1"/>
  <c r="E127" i="1" s="1"/>
  <c r="H127" i="1" s="1"/>
  <c r="D111" i="1"/>
  <c r="E111" i="1" s="1"/>
  <c r="H111" i="1" s="1"/>
  <c r="D106" i="1"/>
  <c r="E106" i="1" s="1"/>
  <c r="H106" i="1" s="1"/>
  <c r="D95" i="1"/>
  <c r="E95" i="1" s="1"/>
  <c r="H95" i="1" s="1"/>
  <c r="D90" i="1"/>
  <c r="E90" i="1" s="1"/>
  <c r="H90" i="1" s="1"/>
  <c r="D79" i="1"/>
  <c r="E79" i="1" s="1"/>
  <c r="H79" i="1" s="1"/>
  <c r="D63" i="1"/>
  <c r="E63" i="1" s="1"/>
  <c r="H63" i="1" s="1"/>
  <c r="D58" i="1"/>
  <c r="E58" i="1" s="1"/>
  <c r="H58" i="1" s="1"/>
  <c r="D399" i="1"/>
  <c r="E399" i="1" s="1"/>
  <c r="H399" i="1" s="1"/>
  <c r="D395" i="1"/>
  <c r="E395" i="1" s="1"/>
  <c r="H395" i="1" s="1"/>
  <c r="C391" i="1"/>
  <c r="F391" i="1" s="1"/>
  <c r="C387" i="1"/>
  <c r="F387" i="1" s="1"/>
  <c r="F379" i="1"/>
  <c r="C375" i="1"/>
  <c r="D371" i="1"/>
  <c r="E371" i="1" s="1"/>
  <c r="H371" i="1" s="1"/>
  <c r="C367" i="1"/>
  <c r="C363" i="1"/>
  <c r="F363" i="1" s="1"/>
  <c r="G359" i="1"/>
  <c r="D355" i="1"/>
  <c r="E355" i="1" s="1"/>
  <c r="H355" i="1" s="1"/>
  <c r="C351" i="1"/>
  <c r="F351" i="1" s="1"/>
  <c r="C347" i="1"/>
  <c r="F347" i="1" s="1"/>
  <c r="D343" i="1"/>
  <c r="E343" i="1" s="1"/>
  <c r="H343" i="1" s="1"/>
  <c r="D339" i="1"/>
  <c r="E339" i="1" s="1"/>
  <c r="H339" i="1" s="1"/>
  <c r="C335" i="1"/>
  <c r="F335" i="1" s="1"/>
  <c r="C331" i="1"/>
  <c r="F331" i="1" s="1"/>
  <c r="D327" i="1"/>
  <c r="E327" i="1" s="1"/>
  <c r="H327" i="1" s="1"/>
  <c r="D323" i="1"/>
  <c r="E323" i="1" s="1"/>
  <c r="H323" i="1" s="1"/>
  <c r="C319" i="1"/>
  <c r="F319" i="1" s="1"/>
  <c r="D315" i="1"/>
  <c r="E315" i="1" s="1"/>
  <c r="H315" i="1" s="1"/>
  <c r="G311" i="1"/>
  <c r="C307" i="1"/>
  <c r="D303" i="1"/>
  <c r="E303" i="1" s="1"/>
  <c r="H303" i="1" s="1"/>
  <c r="D299" i="1"/>
  <c r="E299" i="1" s="1"/>
  <c r="H299" i="1" s="1"/>
  <c r="C295" i="1"/>
  <c r="F295" i="1" s="1"/>
  <c r="C291" i="1"/>
  <c r="D287" i="1"/>
  <c r="E287" i="1" s="1"/>
  <c r="H287" i="1" s="1"/>
  <c r="D283" i="1"/>
  <c r="E283" i="1" s="1"/>
  <c r="H283" i="1" s="1"/>
  <c r="C279" i="1"/>
  <c r="F279" i="1" s="1"/>
  <c r="C275" i="1"/>
  <c r="D271" i="1"/>
  <c r="E271" i="1" s="1"/>
  <c r="H271" i="1" s="1"/>
  <c r="D267" i="1"/>
  <c r="E267" i="1" s="1"/>
  <c r="H267" i="1" s="1"/>
  <c r="C263" i="1"/>
  <c r="F263" i="1" s="1"/>
  <c r="C259" i="1"/>
  <c r="F251" i="1"/>
  <c r="E151" i="1"/>
  <c r="H151" i="1" s="1"/>
  <c r="G151" i="1"/>
  <c r="E103" i="1"/>
  <c r="H103" i="1" s="1"/>
  <c r="G103" i="1"/>
  <c r="E87" i="1"/>
  <c r="H87" i="1" s="1"/>
  <c r="G87" i="1"/>
  <c r="D385" i="1"/>
  <c r="E385" i="1" s="1"/>
  <c r="H385" i="1" s="1"/>
  <c r="F385" i="1"/>
  <c r="D379" i="1"/>
  <c r="E379" i="1" s="1"/>
  <c r="H379" i="1" s="1"/>
  <c r="D373" i="1"/>
  <c r="E373" i="1" s="1"/>
  <c r="H373" i="1" s="1"/>
  <c r="F373" i="1"/>
  <c r="F262" i="1"/>
  <c r="E190" i="1"/>
  <c r="H190" i="1" s="1"/>
  <c r="G190" i="1"/>
  <c r="E126" i="1"/>
  <c r="H126" i="1" s="1"/>
  <c r="G126" i="1"/>
  <c r="D390" i="1"/>
  <c r="E390" i="1" s="1"/>
  <c r="H390" i="1" s="1"/>
  <c r="D383" i="1"/>
  <c r="E383" i="1" s="1"/>
  <c r="H383" i="1" s="1"/>
  <c r="D378" i="1"/>
  <c r="E378" i="1" s="1"/>
  <c r="H378" i="1" s="1"/>
  <c r="D321" i="1"/>
  <c r="F321" i="1"/>
  <c r="D309" i="1"/>
  <c r="F309" i="1"/>
  <c r="D50" i="1"/>
  <c r="E50" i="1" s="1"/>
  <c r="H50" i="1" s="1"/>
  <c r="F46" i="1"/>
  <c r="F45" i="1"/>
  <c r="D46" i="1"/>
  <c r="E46" i="1" s="1"/>
  <c r="H46" i="1" s="1"/>
  <c r="D55" i="1"/>
  <c r="E55" i="1" s="1"/>
  <c r="H55" i="1" s="1"/>
  <c r="F55" i="1"/>
  <c r="E45" i="1"/>
  <c r="H45" i="1" s="1"/>
  <c r="D54" i="1"/>
  <c r="E54" i="1" s="1"/>
  <c r="H54" i="1" s="1"/>
  <c r="D49" i="1"/>
  <c r="E49" i="1" s="1"/>
  <c r="H49" i="1" s="1"/>
  <c r="D47" i="1"/>
  <c r="E47" i="1" s="1"/>
  <c r="H47" i="1" s="1"/>
  <c r="C51" i="1"/>
  <c r="F53" i="1"/>
  <c r="G53" i="1"/>
  <c r="G52" i="1"/>
  <c r="G48" i="1"/>
  <c r="G56" i="1"/>
  <c r="F56" i="1"/>
  <c r="F52" i="1"/>
  <c r="F48" i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38" i="1"/>
  <c r="C38" i="1" s="1"/>
  <c r="B32" i="1"/>
  <c r="C32" i="1" s="1"/>
  <c r="D32" i="1" s="1"/>
  <c r="E32" i="1" s="1"/>
  <c r="H32" i="1" s="1"/>
  <c r="B33" i="1"/>
  <c r="C33" i="1" s="1"/>
  <c r="D33" i="1" s="1"/>
  <c r="E33" i="1" s="1"/>
  <c r="H33" i="1" s="1"/>
  <c r="B34" i="1"/>
  <c r="C34" i="1" s="1"/>
  <c r="D34" i="1" s="1"/>
  <c r="E34" i="1" s="1"/>
  <c r="H34" i="1" s="1"/>
  <c r="B35" i="1"/>
  <c r="B36" i="1"/>
  <c r="C36" i="1" s="1"/>
  <c r="B37" i="1"/>
  <c r="C37" i="1" s="1"/>
  <c r="D37" i="1" s="1"/>
  <c r="F28" i="7" l="1"/>
  <c r="F159" i="7"/>
  <c r="F145" i="7"/>
  <c r="F162" i="7"/>
  <c r="F33" i="7"/>
  <c r="F98" i="7"/>
  <c r="F156" i="7"/>
  <c r="F95" i="7"/>
  <c r="F34" i="7"/>
  <c r="F92" i="7"/>
  <c r="F31" i="7"/>
  <c r="F57" i="7"/>
  <c r="F25" i="7"/>
  <c r="F97" i="7"/>
  <c r="F172" i="7"/>
  <c r="F108" i="7"/>
  <c r="F44" i="7"/>
  <c r="F175" i="7"/>
  <c r="F111" i="7"/>
  <c r="F47" i="7"/>
  <c r="F178" i="7"/>
  <c r="F114" i="7"/>
  <c r="F50" i="7"/>
  <c r="F85" i="7"/>
  <c r="F117" i="7"/>
  <c r="F200" i="7"/>
  <c r="F136" i="7"/>
  <c r="F72" i="7"/>
  <c r="F8" i="7"/>
  <c r="F139" i="7"/>
  <c r="F75" i="7"/>
  <c r="F11" i="7"/>
  <c r="F142" i="7"/>
  <c r="F78" i="7"/>
  <c r="F14" i="7"/>
  <c r="F89" i="7"/>
  <c r="F65" i="7"/>
  <c r="F164" i="7"/>
  <c r="F100" i="7"/>
  <c r="F36" i="7"/>
  <c r="F167" i="7"/>
  <c r="F103" i="7"/>
  <c r="F39" i="7"/>
  <c r="F170" i="7"/>
  <c r="F106" i="7"/>
  <c r="F42" i="7"/>
  <c r="F105" i="7"/>
  <c r="F77" i="7"/>
  <c r="F192" i="7"/>
  <c r="F128" i="7"/>
  <c r="F64" i="7"/>
  <c r="F195" i="7"/>
  <c r="F131" i="7"/>
  <c r="F67" i="7"/>
  <c r="F198" i="7"/>
  <c r="F134" i="7"/>
  <c r="F141" i="7"/>
  <c r="F189" i="7"/>
  <c r="F177" i="7"/>
  <c r="F193" i="7"/>
  <c r="F157" i="7"/>
  <c r="F93" i="7"/>
  <c r="F2" i="7"/>
  <c r="F153" i="7"/>
  <c r="F169" i="7"/>
  <c r="F109" i="7"/>
  <c r="F29" i="7"/>
  <c r="F201" i="7"/>
  <c r="F125" i="7"/>
  <c r="F61" i="7"/>
  <c r="F3" i="7"/>
  <c r="F173" i="7"/>
  <c r="F149" i="7"/>
  <c r="F53" i="7"/>
  <c r="F45" i="7"/>
  <c r="F184" i="7"/>
  <c r="F120" i="7"/>
  <c r="F56" i="7"/>
  <c r="F187" i="7"/>
  <c r="F123" i="7"/>
  <c r="F59" i="7"/>
  <c r="F190" i="7"/>
  <c r="F126" i="7"/>
  <c r="F62" i="7"/>
  <c r="F69" i="7"/>
  <c r="F181" i="7"/>
  <c r="F4" i="7"/>
  <c r="F148" i="7"/>
  <c r="F84" i="7"/>
  <c r="F20" i="7"/>
  <c r="F151" i="7"/>
  <c r="F87" i="7"/>
  <c r="F23" i="7"/>
  <c r="F154" i="7"/>
  <c r="F90" i="7"/>
  <c r="F26" i="7"/>
  <c r="F101" i="7"/>
  <c r="F113" i="7"/>
  <c r="F176" i="7"/>
  <c r="F112" i="7"/>
  <c r="F48" i="7"/>
  <c r="F179" i="7"/>
  <c r="F115" i="7"/>
  <c r="F51" i="7"/>
  <c r="F182" i="7"/>
  <c r="F118" i="7"/>
  <c r="F54" i="7"/>
  <c r="F9" i="7"/>
  <c r="F185" i="7"/>
  <c r="F5" i="7"/>
  <c r="F140" i="7"/>
  <c r="F76" i="7"/>
  <c r="F12" i="7"/>
  <c r="F143" i="7"/>
  <c r="F79" i="7"/>
  <c r="F15" i="7"/>
  <c r="F146" i="7"/>
  <c r="F82" i="7"/>
  <c r="F18" i="7"/>
  <c r="F165" i="7"/>
  <c r="F81" i="7"/>
  <c r="F168" i="7"/>
  <c r="F104" i="7"/>
  <c r="F40" i="7"/>
  <c r="F171" i="7"/>
  <c r="F107" i="7"/>
  <c r="F43" i="7"/>
  <c r="F174" i="7"/>
  <c r="F110" i="7"/>
  <c r="F46" i="7"/>
  <c r="F73" i="7"/>
  <c r="F137" i="7"/>
  <c r="F196" i="7"/>
  <c r="F132" i="7"/>
  <c r="F68" i="7"/>
  <c r="F199" i="7"/>
  <c r="F135" i="7"/>
  <c r="F71" i="7"/>
  <c r="F7" i="7"/>
  <c r="F138" i="7"/>
  <c r="F74" i="7"/>
  <c r="F10" i="7"/>
  <c r="F121" i="7"/>
  <c r="F49" i="7"/>
  <c r="F160" i="7"/>
  <c r="F96" i="7"/>
  <c r="F32" i="7"/>
  <c r="F163" i="7"/>
  <c r="F99" i="7"/>
  <c r="F35" i="7"/>
  <c r="F166" i="7"/>
  <c r="F102" i="7"/>
  <c r="F38" i="7"/>
  <c r="F6" i="7"/>
  <c r="F13" i="7"/>
  <c r="F188" i="7"/>
  <c r="F124" i="7"/>
  <c r="F60" i="7"/>
  <c r="F191" i="7"/>
  <c r="F127" i="7"/>
  <c r="F63" i="7"/>
  <c r="F194" i="7"/>
  <c r="F130" i="7"/>
  <c r="F66" i="7"/>
  <c r="F41" i="7"/>
  <c r="F161" i="7"/>
  <c r="F17" i="7"/>
  <c r="F152" i="7"/>
  <c r="F88" i="7"/>
  <c r="F24" i="7"/>
  <c r="F155" i="7"/>
  <c r="F91" i="7"/>
  <c r="F27" i="7"/>
  <c r="F158" i="7"/>
  <c r="F94" i="7"/>
  <c r="F30" i="7"/>
  <c r="F37" i="7"/>
  <c r="F129" i="7"/>
  <c r="F180" i="7"/>
  <c r="F116" i="7"/>
  <c r="F52" i="7"/>
  <c r="F183" i="7"/>
  <c r="F119" i="7"/>
  <c r="F55" i="7"/>
  <c r="F186" i="7"/>
  <c r="F122" i="7"/>
  <c r="F58" i="7"/>
  <c r="F133" i="7"/>
  <c r="F197" i="7"/>
  <c r="F21" i="7"/>
  <c r="F144" i="7"/>
  <c r="F80" i="7"/>
  <c r="F16" i="7"/>
  <c r="F147" i="7"/>
  <c r="F83" i="7"/>
  <c r="F19" i="7"/>
  <c r="F150" i="7"/>
  <c r="F86" i="7"/>
  <c r="F22" i="7"/>
  <c r="G66" i="1"/>
  <c r="L195" i="7"/>
  <c r="L187" i="7"/>
  <c r="L171" i="7"/>
  <c r="L155" i="7"/>
  <c r="L139" i="7"/>
  <c r="L123" i="7"/>
  <c r="L107" i="7"/>
  <c r="L91" i="7"/>
  <c r="L75" i="7"/>
  <c r="L59" i="7"/>
  <c r="L43" i="7"/>
  <c r="L196" i="7"/>
  <c r="L180" i="7"/>
  <c r="L164" i="7"/>
  <c r="L148" i="7"/>
  <c r="L132" i="7"/>
  <c r="L116" i="7"/>
  <c r="L100" i="7"/>
  <c r="L84" i="7"/>
  <c r="L68" i="7"/>
  <c r="L17" i="7"/>
  <c r="L10" i="7"/>
  <c r="L201" i="7"/>
  <c r="L193" i="7"/>
  <c r="L185" i="7"/>
  <c r="L177" i="7"/>
  <c r="L169" i="7"/>
  <c r="L161" i="7"/>
  <c r="L153" i="7"/>
  <c r="L145" i="7"/>
  <c r="L137" i="7"/>
  <c r="L129" i="7"/>
  <c r="L121" i="7"/>
  <c r="L113" i="7"/>
  <c r="L105" i="7"/>
  <c r="L97" i="7"/>
  <c r="L89" i="7"/>
  <c r="L81" i="7"/>
  <c r="L73" i="7"/>
  <c r="L65" i="7"/>
  <c r="L57" i="7"/>
  <c r="L49" i="7"/>
  <c r="L41" i="7"/>
  <c r="L33" i="7"/>
  <c r="L194" i="7"/>
  <c r="L186" i="7"/>
  <c r="L178" i="7"/>
  <c r="L170" i="7"/>
  <c r="L162" i="7"/>
  <c r="L154" i="7"/>
  <c r="L146" i="7"/>
  <c r="L138" i="7"/>
  <c r="L130" i="7"/>
  <c r="L122" i="7"/>
  <c r="L114" i="7"/>
  <c r="L106" i="7"/>
  <c r="L98" i="7"/>
  <c r="L90" i="7"/>
  <c r="L82" i="7"/>
  <c r="L74" i="7"/>
  <c r="L66" i="7"/>
  <c r="L31" i="7"/>
  <c r="L23" i="7"/>
  <c r="L15" i="7"/>
  <c r="L7" i="7"/>
  <c r="L56" i="7"/>
  <c r="L48" i="7"/>
  <c r="L40" i="7"/>
  <c r="L32" i="7"/>
  <c r="L24" i="7"/>
  <c r="L16" i="7"/>
  <c r="L8" i="7"/>
  <c r="L191" i="7"/>
  <c r="L175" i="7"/>
  <c r="L159" i="7"/>
  <c r="L143" i="7"/>
  <c r="L119" i="7"/>
  <c r="L103" i="7"/>
  <c r="L87" i="7"/>
  <c r="L71" i="7"/>
  <c r="L47" i="7"/>
  <c r="L192" i="7"/>
  <c r="L176" i="7"/>
  <c r="L160" i="7"/>
  <c r="L136" i="7"/>
  <c r="L120" i="7"/>
  <c r="L104" i="7"/>
  <c r="L88" i="7"/>
  <c r="L80" i="7"/>
  <c r="L72" i="7"/>
  <c r="L64" i="7"/>
  <c r="L29" i="7"/>
  <c r="L21" i="7"/>
  <c r="L13" i="7"/>
  <c r="L5" i="7"/>
  <c r="L54" i="7"/>
  <c r="L46" i="7"/>
  <c r="L38" i="7"/>
  <c r="L30" i="7"/>
  <c r="L22" i="7"/>
  <c r="L6" i="7"/>
  <c r="L199" i="7"/>
  <c r="L183" i="7"/>
  <c r="L167" i="7"/>
  <c r="L151" i="7"/>
  <c r="L135" i="7"/>
  <c r="L127" i="7"/>
  <c r="L111" i="7"/>
  <c r="L95" i="7"/>
  <c r="L79" i="7"/>
  <c r="L63" i="7"/>
  <c r="L55" i="7"/>
  <c r="L39" i="7"/>
  <c r="L200" i="7"/>
  <c r="L184" i="7"/>
  <c r="L168" i="7"/>
  <c r="L152" i="7"/>
  <c r="L144" i="7"/>
  <c r="L128" i="7"/>
  <c r="L112" i="7"/>
  <c r="L96" i="7"/>
  <c r="L14" i="7"/>
  <c r="L197" i="7"/>
  <c r="L189" i="7"/>
  <c r="L181" i="7"/>
  <c r="L173" i="7"/>
  <c r="L165" i="7"/>
  <c r="L157" i="7"/>
  <c r="L149" i="7"/>
  <c r="L141" i="7"/>
  <c r="L133" i="7"/>
  <c r="L125" i="7"/>
  <c r="L117" i="7"/>
  <c r="L109" i="7"/>
  <c r="L101" i="7"/>
  <c r="L93" i="7"/>
  <c r="L85" i="7"/>
  <c r="L77" i="7"/>
  <c r="L69" i="7"/>
  <c r="L61" i="7"/>
  <c r="L53" i="7"/>
  <c r="L45" i="7"/>
  <c r="L37" i="7"/>
  <c r="L198" i="7"/>
  <c r="L190" i="7"/>
  <c r="L182" i="7"/>
  <c r="L174" i="7"/>
  <c r="L166" i="7"/>
  <c r="L158" i="7"/>
  <c r="L150" i="7"/>
  <c r="L142" i="7"/>
  <c r="L134" i="7"/>
  <c r="L126" i="7"/>
  <c r="L118" i="7"/>
  <c r="L110" i="7"/>
  <c r="L102" i="7"/>
  <c r="L94" i="7"/>
  <c r="L86" i="7"/>
  <c r="L78" i="7"/>
  <c r="L70" i="7"/>
  <c r="L62" i="7"/>
  <c r="L27" i="7"/>
  <c r="L19" i="7"/>
  <c r="L11" i="7"/>
  <c r="L3" i="7"/>
  <c r="L52" i="7"/>
  <c r="L44" i="7"/>
  <c r="L36" i="7"/>
  <c r="L28" i="7"/>
  <c r="L20" i="7"/>
  <c r="L12" i="7"/>
  <c r="L4" i="7"/>
  <c r="L179" i="7"/>
  <c r="L163" i="7"/>
  <c r="L147" i="7"/>
  <c r="L131" i="7"/>
  <c r="L115" i="7"/>
  <c r="L99" i="7"/>
  <c r="L83" i="7"/>
  <c r="L67" i="7"/>
  <c r="L51" i="7"/>
  <c r="L35" i="7"/>
  <c r="L188" i="7"/>
  <c r="L172" i="7"/>
  <c r="L156" i="7"/>
  <c r="L140" i="7"/>
  <c r="L124" i="7"/>
  <c r="L108" i="7"/>
  <c r="L92" i="7"/>
  <c r="L76" i="7"/>
  <c r="L60" i="7"/>
  <c r="L25" i="7"/>
  <c r="L9" i="7"/>
  <c r="L58" i="7"/>
  <c r="L50" i="7"/>
  <c r="L42" i="7"/>
  <c r="L34" i="7"/>
  <c r="L26" i="7"/>
  <c r="L18" i="7"/>
  <c r="T173" i="7"/>
  <c r="T141" i="7"/>
  <c r="T109" i="7"/>
  <c r="T174" i="7"/>
  <c r="T142" i="7"/>
  <c r="T110" i="7"/>
  <c r="T78" i="7"/>
  <c r="T197" i="7"/>
  <c r="T165" i="7"/>
  <c r="T133" i="7"/>
  <c r="T198" i="7"/>
  <c r="T166" i="7"/>
  <c r="T134" i="7"/>
  <c r="T102" i="7"/>
  <c r="T70" i="7"/>
  <c r="T189" i="7"/>
  <c r="T157" i="7"/>
  <c r="T125" i="7"/>
  <c r="T190" i="7"/>
  <c r="T158" i="7"/>
  <c r="T126" i="7"/>
  <c r="T94" i="7"/>
  <c r="T62" i="7"/>
  <c r="T181" i="7"/>
  <c r="T149" i="7"/>
  <c r="T117" i="7"/>
  <c r="T182" i="7"/>
  <c r="T150" i="7"/>
  <c r="T118" i="7"/>
  <c r="T86" i="7"/>
  <c r="T54" i="7"/>
  <c r="T201" i="7"/>
  <c r="T193" i="7"/>
  <c r="T185" i="7"/>
  <c r="T177" i="7"/>
  <c r="T169" i="7"/>
  <c r="T161" i="7"/>
  <c r="T153" i="7"/>
  <c r="T145" i="7"/>
  <c r="T137" i="7"/>
  <c r="T129" i="7"/>
  <c r="T121" i="7"/>
  <c r="T113" i="7"/>
  <c r="T105" i="7"/>
  <c r="T194" i="7"/>
  <c r="T186" i="7"/>
  <c r="T178" i="7"/>
  <c r="T170" i="7"/>
  <c r="T162" i="7"/>
  <c r="T154" i="7"/>
  <c r="T146" i="7"/>
  <c r="T138" i="7"/>
  <c r="T130" i="7"/>
  <c r="T122" i="7"/>
  <c r="T114" i="7"/>
  <c r="T106" i="7"/>
  <c r="T98" i="7"/>
  <c r="T90" i="7"/>
  <c r="T82" i="7"/>
  <c r="T74" i="7"/>
  <c r="T66" i="7"/>
  <c r="T58" i="7"/>
  <c r="T50" i="7"/>
  <c r="T42" i="7"/>
  <c r="T34" i="7"/>
  <c r="T99" i="7"/>
  <c r="T91" i="7"/>
  <c r="T83" i="7"/>
  <c r="T75" i="7"/>
  <c r="T67" i="7"/>
  <c r="T59" i="7"/>
  <c r="T51" i="7"/>
  <c r="T43" i="7"/>
  <c r="T35" i="7"/>
  <c r="T27" i="7"/>
  <c r="T19" i="7"/>
  <c r="T11" i="7"/>
  <c r="T3" i="7"/>
  <c r="T24" i="7"/>
  <c r="T16" i="7"/>
  <c r="T8" i="7"/>
  <c r="T199" i="7"/>
  <c r="T191" i="7"/>
  <c r="T183" i="7"/>
  <c r="T175" i="7"/>
  <c r="T167" i="7"/>
  <c r="T159" i="7"/>
  <c r="T151" i="7"/>
  <c r="T143" i="7"/>
  <c r="T135" i="7"/>
  <c r="T127" i="7"/>
  <c r="T119" i="7"/>
  <c r="T111" i="7"/>
  <c r="T200" i="7"/>
  <c r="T192" i="7"/>
  <c r="T184" i="7"/>
  <c r="T176" i="7"/>
  <c r="T168" i="7"/>
  <c r="T160" i="7"/>
  <c r="T152" i="7"/>
  <c r="T144" i="7"/>
  <c r="T136" i="7"/>
  <c r="T128" i="7"/>
  <c r="T120" i="7"/>
  <c r="T112" i="7"/>
  <c r="T104" i="7"/>
  <c r="T96" i="7"/>
  <c r="T88" i="7"/>
  <c r="T80" i="7"/>
  <c r="T72" i="7"/>
  <c r="T64" i="7"/>
  <c r="T56" i="7"/>
  <c r="T48" i="7"/>
  <c r="T40" i="7"/>
  <c r="T32" i="7"/>
  <c r="T97" i="7"/>
  <c r="T89" i="7"/>
  <c r="T81" i="7"/>
  <c r="T73" i="7"/>
  <c r="T65" i="7"/>
  <c r="T57" i="7"/>
  <c r="T49" i="7"/>
  <c r="T41" i="7"/>
  <c r="T33" i="7"/>
  <c r="T25" i="7"/>
  <c r="T17" i="7"/>
  <c r="T9" i="7"/>
  <c r="T30" i="7"/>
  <c r="T22" i="7"/>
  <c r="T14" i="7"/>
  <c r="T6" i="7"/>
  <c r="T46" i="7"/>
  <c r="T38" i="7"/>
  <c r="T103" i="7"/>
  <c r="T95" i="7"/>
  <c r="T87" i="7"/>
  <c r="T79" i="7"/>
  <c r="T71" i="7"/>
  <c r="T63" i="7"/>
  <c r="T55" i="7"/>
  <c r="T47" i="7"/>
  <c r="T39" i="7"/>
  <c r="T31" i="7"/>
  <c r="T23" i="7"/>
  <c r="T15" i="7"/>
  <c r="T7" i="7"/>
  <c r="T28" i="7"/>
  <c r="T20" i="7"/>
  <c r="T12" i="7"/>
  <c r="T4" i="7"/>
  <c r="T195" i="7"/>
  <c r="T187" i="7"/>
  <c r="T179" i="7"/>
  <c r="T171" i="7"/>
  <c r="T163" i="7"/>
  <c r="T155" i="7"/>
  <c r="T147" i="7"/>
  <c r="T139" i="7"/>
  <c r="T131" i="7"/>
  <c r="T123" i="7"/>
  <c r="T115" i="7"/>
  <c r="T107" i="7"/>
  <c r="T196" i="7"/>
  <c r="T188" i="7"/>
  <c r="T180" i="7"/>
  <c r="T172" i="7"/>
  <c r="T164" i="7"/>
  <c r="T156" i="7"/>
  <c r="T148" i="7"/>
  <c r="T140" i="7"/>
  <c r="T132" i="7"/>
  <c r="T124" i="7"/>
  <c r="T116" i="7"/>
  <c r="T108" i="7"/>
  <c r="T100" i="7"/>
  <c r="T92" i="7"/>
  <c r="T84" i="7"/>
  <c r="T76" i="7"/>
  <c r="T68" i="7"/>
  <c r="T60" i="7"/>
  <c r="T52" i="7"/>
  <c r="T44" i="7"/>
  <c r="T36" i="7"/>
  <c r="T101" i="7"/>
  <c r="T93" i="7"/>
  <c r="T85" i="7"/>
  <c r="T77" i="7"/>
  <c r="T69" i="7"/>
  <c r="T61" i="7"/>
  <c r="T53" i="7"/>
  <c r="T45" i="7"/>
  <c r="T37" i="7"/>
  <c r="T29" i="7"/>
  <c r="T21" i="7"/>
  <c r="T13" i="7"/>
  <c r="T5" i="7"/>
  <c r="T26" i="7"/>
  <c r="T18" i="7"/>
  <c r="T10" i="7"/>
  <c r="T2" i="7"/>
  <c r="X1" i="7"/>
  <c r="AH26" i="7"/>
  <c r="Q89" i="7"/>
  <c r="Q121" i="7"/>
  <c r="Q105" i="7"/>
  <c r="Q129" i="7"/>
  <c r="Q113" i="7"/>
  <c r="Q97" i="7"/>
  <c r="Q81" i="7"/>
  <c r="Q131" i="7"/>
  <c r="Q99" i="7"/>
  <c r="Q73" i="7"/>
  <c r="Q61" i="7"/>
  <c r="Q51" i="7"/>
  <c r="Q41" i="7"/>
  <c r="Q29" i="7"/>
  <c r="Q19" i="7"/>
  <c r="Q9" i="7"/>
  <c r="Q184" i="7"/>
  <c r="Q168" i="7"/>
  <c r="Q152" i="7"/>
  <c r="Q144" i="7"/>
  <c r="Q136" i="7"/>
  <c r="Q120" i="7"/>
  <c r="Q104" i="7"/>
  <c r="Q88" i="7"/>
  <c r="Q72" i="7"/>
  <c r="Q56" i="7"/>
  <c r="Q40" i="7"/>
  <c r="Q24" i="7"/>
  <c r="Q12" i="7"/>
  <c r="Q55" i="7"/>
  <c r="Q10" i="7"/>
  <c r="Q125" i="7"/>
  <c r="Q109" i="7"/>
  <c r="Q93" i="7"/>
  <c r="Q77" i="7"/>
  <c r="Q123" i="7"/>
  <c r="Q91" i="7"/>
  <c r="Q69" i="7"/>
  <c r="Q59" i="7"/>
  <c r="Q49" i="7"/>
  <c r="Q37" i="7"/>
  <c r="Q27" i="7"/>
  <c r="Q17" i="7"/>
  <c r="Q5" i="7"/>
  <c r="Q196" i="7"/>
  <c r="Q180" i="7"/>
  <c r="Q164" i="7"/>
  <c r="Q150" i="7"/>
  <c r="Q142" i="7"/>
  <c r="Q134" i="7"/>
  <c r="Q118" i="7"/>
  <c r="Q102" i="7"/>
  <c r="Q86" i="7"/>
  <c r="Q70" i="7"/>
  <c r="Q54" i="7"/>
  <c r="Q38" i="7"/>
  <c r="Q22" i="7"/>
  <c r="Q8" i="7"/>
  <c r="Q154" i="7"/>
  <c r="Q158" i="7"/>
  <c r="Q162" i="7"/>
  <c r="Q166" i="7"/>
  <c r="Q170" i="7"/>
  <c r="Q174" i="7"/>
  <c r="Q178" i="7"/>
  <c r="Q182" i="7"/>
  <c r="Q186" i="7"/>
  <c r="Q190" i="7"/>
  <c r="Q194" i="7"/>
  <c r="Q198" i="7"/>
  <c r="Q2" i="7"/>
  <c r="S2" i="7" s="1"/>
  <c r="Q34" i="7"/>
  <c r="Q44" i="7"/>
  <c r="Q66" i="7"/>
  <c r="Q76" i="7"/>
  <c r="Q87" i="7"/>
  <c r="Q98" i="7"/>
  <c r="Q108" i="7"/>
  <c r="Q119" i="7"/>
  <c r="Q130" i="7"/>
  <c r="Q139" i="7"/>
  <c r="Q147" i="7"/>
  <c r="Q155" i="7"/>
  <c r="Q163" i="7"/>
  <c r="Q171" i="7"/>
  <c r="Q179" i="7"/>
  <c r="Q187" i="7"/>
  <c r="Q195" i="7"/>
  <c r="Q7" i="7"/>
  <c r="Q18" i="7"/>
  <c r="Q28" i="7"/>
  <c r="Q39" i="7"/>
  <c r="Q60" i="7"/>
  <c r="Q82" i="7"/>
  <c r="Q103" i="7"/>
  <c r="Q124" i="7"/>
  <c r="Q143" i="7"/>
  <c r="Q159" i="7"/>
  <c r="Q26" i="7"/>
  <c r="Q36" i="7"/>
  <c r="Q58" i="7"/>
  <c r="Q68" i="7"/>
  <c r="Q79" i="7"/>
  <c r="Q90" i="7"/>
  <c r="Q100" i="7"/>
  <c r="Q111" i="7"/>
  <c r="Q122" i="7"/>
  <c r="Q132" i="7"/>
  <c r="Q141" i="7"/>
  <c r="Q149" i="7"/>
  <c r="Q157" i="7"/>
  <c r="Q165" i="7"/>
  <c r="Q173" i="7"/>
  <c r="Q181" i="7"/>
  <c r="Q189" i="7"/>
  <c r="Q197" i="7"/>
  <c r="Q50" i="7"/>
  <c r="Q71" i="7"/>
  <c r="Q92" i="7"/>
  <c r="Q114" i="7"/>
  <c r="Q135" i="7"/>
  <c r="Q151" i="7"/>
  <c r="Q42" i="7"/>
  <c r="Q84" i="7"/>
  <c r="Q127" i="7"/>
  <c r="Q161" i="7"/>
  <c r="Q177" i="7"/>
  <c r="Q193" i="7"/>
  <c r="Q52" i="7"/>
  <c r="Q95" i="7"/>
  <c r="Q137" i="7"/>
  <c r="Q167" i="7"/>
  <c r="Q183" i="7"/>
  <c r="Q199" i="7"/>
  <c r="Q31" i="7"/>
  <c r="Q74" i="7"/>
  <c r="Q153" i="7"/>
  <c r="Q191" i="7"/>
  <c r="Q20" i="7"/>
  <c r="Q63" i="7"/>
  <c r="Q106" i="7"/>
  <c r="Q145" i="7"/>
  <c r="Q169" i="7"/>
  <c r="Q185" i="7"/>
  <c r="Q201" i="7"/>
  <c r="Q116" i="7"/>
  <c r="Q175" i="7"/>
  <c r="Q115" i="7"/>
  <c r="Q83" i="7"/>
  <c r="Q67" i="7"/>
  <c r="Q57" i="7"/>
  <c r="Q45" i="7"/>
  <c r="Q35" i="7"/>
  <c r="Q25" i="7"/>
  <c r="Q13" i="7"/>
  <c r="Q192" i="7"/>
  <c r="Q176" i="7"/>
  <c r="Q160" i="7"/>
  <c r="Q148" i="7"/>
  <c r="Q140" i="7"/>
  <c r="Q128" i="7"/>
  <c r="Q112" i="7"/>
  <c r="Q96" i="7"/>
  <c r="Q80" i="7"/>
  <c r="Q64" i="7"/>
  <c r="Q48" i="7"/>
  <c r="Q32" i="7"/>
  <c r="Q16" i="7"/>
  <c r="Q6" i="7"/>
  <c r="Q23" i="7"/>
  <c r="Q133" i="7"/>
  <c r="Q117" i="7"/>
  <c r="Q101" i="7"/>
  <c r="Q85" i="7"/>
  <c r="Q107" i="7"/>
  <c r="Q75" i="7"/>
  <c r="Q65" i="7"/>
  <c r="Q53" i="7"/>
  <c r="Q43" i="7"/>
  <c r="Q33" i="7"/>
  <c r="Q21" i="7"/>
  <c r="Q11" i="7"/>
  <c r="Q3" i="7"/>
  <c r="Q188" i="7"/>
  <c r="Q172" i="7"/>
  <c r="Q156" i="7"/>
  <c r="Q146" i="7"/>
  <c r="Q138" i="7"/>
  <c r="Q126" i="7"/>
  <c r="Q110" i="7"/>
  <c r="Q94" i="7"/>
  <c r="Q78" i="7"/>
  <c r="Q62" i="7"/>
  <c r="Q46" i="7"/>
  <c r="Q30" i="7"/>
  <c r="Q14" i="7"/>
  <c r="Q4" i="7"/>
  <c r="Q15" i="7"/>
  <c r="Q200" i="7"/>
  <c r="I16" i="7"/>
  <c r="AB26" i="7"/>
  <c r="I194" i="7"/>
  <c r="I178" i="7"/>
  <c r="I161" i="7"/>
  <c r="I129" i="7"/>
  <c r="I187" i="7"/>
  <c r="I139" i="7"/>
  <c r="I43" i="7"/>
  <c r="I201" i="7"/>
  <c r="I185" i="7"/>
  <c r="I169" i="7"/>
  <c r="I135" i="7"/>
  <c r="I113" i="7"/>
  <c r="I97" i="7"/>
  <c r="I81" i="7"/>
  <c r="I65" i="7"/>
  <c r="I49" i="7"/>
  <c r="I26" i="7"/>
  <c r="I167" i="7"/>
  <c r="I103" i="7"/>
  <c r="I47" i="7"/>
  <c r="I192" i="7"/>
  <c r="I176" i="7"/>
  <c r="I149" i="7"/>
  <c r="I183" i="7"/>
  <c r="I79" i="7"/>
  <c r="I95" i="7"/>
  <c r="I71" i="7"/>
  <c r="I114" i="7"/>
  <c r="I82" i="7"/>
  <c r="I50" i="7"/>
  <c r="I12" i="7"/>
  <c r="I110" i="7"/>
  <c r="I34" i="7"/>
  <c r="I144" i="7"/>
  <c r="I130" i="7"/>
  <c r="I28" i="7"/>
  <c r="I13" i="7"/>
  <c r="I86" i="7"/>
  <c r="I24" i="7"/>
  <c r="I154" i="7"/>
  <c r="I23" i="7"/>
  <c r="I198" i="7"/>
  <c r="I182" i="7"/>
  <c r="I166" i="7"/>
  <c r="I137" i="7"/>
  <c r="I191" i="7"/>
  <c r="I63" i="7"/>
  <c r="I173" i="7"/>
  <c r="I117" i="7"/>
  <c r="I69" i="7"/>
  <c r="I37" i="7"/>
  <c r="I107" i="7"/>
  <c r="I180" i="7"/>
  <c r="I125" i="7"/>
  <c r="I119" i="7"/>
  <c r="I83" i="7"/>
  <c r="I58" i="7"/>
  <c r="I118" i="7"/>
  <c r="I146" i="7"/>
  <c r="I32" i="7"/>
  <c r="I9" i="7"/>
  <c r="I190" i="7"/>
  <c r="I174" i="7"/>
  <c r="I153" i="7"/>
  <c r="I27" i="7"/>
  <c r="I179" i="7"/>
  <c r="I131" i="7"/>
  <c r="I39" i="7"/>
  <c r="I197" i="7"/>
  <c r="I181" i="7"/>
  <c r="I159" i="7"/>
  <c r="I127" i="7"/>
  <c r="I109" i="7"/>
  <c r="I93" i="7"/>
  <c r="I77" i="7"/>
  <c r="I61" i="7"/>
  <c r="I45" i="7"/>
  <c r="I25" i="7"/>
  <c r="I163" i="7"/>
  <c r="I99" i="7"/>
  <c r="I188" i="7"/>
  <c r="I172" i="7"/>
  <c r="I141" i="7"/>
  <c r="I147" i="7"/>
  <c r="I55" i="7"/>
  <c r="I91" i="7"/>
  <c r="I138" i="7"/>
  <c r="I106" i="7"/>
  <c r="I74" i="7"/>
  <c r="I42" i="7"/>
  <c r="I11" i="7"/>
  <c r="I102" i="7"/>
  <c r="I8" i="7"/>
  <c r="I18" i="7"/>
  <c r="I128" i="7"/>
  <c r="I22" i="7"/>
  <c r="I6" i="7"/>
  <c r="I46" i="7"/>
  <c r="I17" i="7"/>
  <c r="I152" i="7"/>
  <c r="I165" i="7"/>
  <c r="I164" i="7"/>
  <c r="I156" i="7"/>
  <c r="I148" i="7"/>
  <c r="I140" i="7"/>
  <c r="I132" i="7"/>
  <c r="I124" i="7"/>
  <c r="I29" i="7"/>
  <c r="I142" i="7"/>
  <c r="I134" i="7"/>
  <c r="I126" i="7"/>
  <c r="I60" i="7"/>
  <c r="I40" i="7"/>
  <c r="I158" i="7"/>
  <c r="I150" i="7"/>
  <c r="I112" i="7"/>
  <c r="I76" i="7"/>
  <c r="I56" i="7"/>
  <c r="I52" i="7"/>
  <c r="I48" i="7"/>
  <c r="I44" i="7"/>
  <c r="I31" i="7"/>
  <c r="I30" i="7"/>
  <c r="I2" i="7"/>
  <c r="I120" i="7"/>
  <c r="I104" i="7"/>
  <c r="I100" i="7"/>
  <c r="I88" i="7"/>
  <c r="I84" i="7"/>
  <c r="I80" i="7"/>
  <c r="I72" i="7"/>
  <c r="I36" i="7"/>
  <c r="I116" i="7"/>
  <c r="I108" i="7"/>
  <c r="I96" i="7"/>
  <c r="I92" i="7"/>
  <c r="I68" i="7"/>
  <c r="I64" i="7"/>
  <c r="I155" i="7"/>
  <c r="I189" i="7"/>
  <c r="I143" i="7"/>
  <c r="I101" i="7"/>
  <c r="I85" i="7"/>
  <c r="I53" i="7"/>
  <c r="I171" i="7"/>
  <c r="I59" i="7"/>
  <c r="I196" i="7"/>
  <c r="I157" i="7"/>
  <c r="I195" i="7"/>
  <c r="I115" i="7"/>
  <c r="I122" i="7"/>
  <c r="I90" i="7"/>
  <c r="I19" i="7"/>
  <c r="I54" i="7"/>
  <c r="I160" i="7"/>
  <c r="I14" i="7"/>
  <c r="I94" i="7"/>
  <c r="I35" i="7"/>
  <c r="I62" i="7"/>
  <c r="I186" i="7"/>
  <c r="I170" i="7"/>
  <c r="I145" i="7"/>
  <c r="I199" i="7"/>
  <c r="I175" i="7"/>
  <c r="I67" i="7"/>
  <c r="I193" i="7"/>
  <c r="I177" i="7"/>
  <c r="I151" i="7"/>
  <c r="I121" i="7"/>
  <c r="I105" i="7"/>
  <c r="I89" i="7"/>
  <c r="I73" i="7"/>
  <c r="I57" i="7"/>
  <c r="I41" i="7"/>
  <c r="I3" i="7"/>
  <c r="I111" i="7"/>
  <c r="I75" i="7"/>
  <c r="I200" i="7"/>
  <c r="I184" i="7"/>
  <c r="I168" i="7"/>
  <c r="I133" i="7"/>
  <c r="I123" i="7"/>
  <c r="I51" i="7"/>
  <c r="I87" i="7"/>
  <c r="I136" i="7"/>
  <c r="I98" i="7"/>
  <c r="I66" i="7"/>
  <c r="I20" i="7"/>
  <c r="I4" i="7"/>
  <c r="I78" i="7"/>
  <c r="I7" i="7"/>
  <c r="I162" i="7"/>
  <c r="I33" i="7"/>
  <c r="I21" i="7"/>
  <c r="I5" i="7"/>
  <c r="I38" i="7"/>
  <c r="I10" i="7"/>
  <c r="I70" i="7"/>
  <c r="I15" i="7"/>
  <c r="D391" i="6"/>
  <c r="E391" i="6" s="1"/>
  <c r="H391" i="6" s="1"/>
  <c r="D389" i="6"/>
  <c r="E389" i="6" s="1"/>
  <c r="H389" i="6" s="1"/>
  <c r="D395" i="6"/>
  <c r="E395" i="6" s="1"/>
  <c r="H395" i="6" s="1"/>
  <c r="D316" i="6"/>
  <c r="E316" i="6" s="1"/>
  <c r="H316" i="6" s="1"/>
  <c r="D294" i="6"/>
  <c r="E294" i="6" s="1"/>
  <c r="H294" i="6" s="1"/>
  <c r="D286" i="6"/>
  <c r="E286" i="6" s="1"/>
  <c r="H286" i="6" s="1"/>
  <c r="D295" i="6"/>
  <c r="E295" i="6" s="1"/>
  <c r="H295" i="6" s="1"/>
  <c r="D278" i="6"/>
  <c r="E278" i="6" s="1"/>
  <c r="H278" i="6" s="1"/>
  <c r="D272" i="6"/>
  <c r="E272" i="6" s="1"/>
  <c r="H272" i="6" s="1"/>
  <c r="D264" i="6"/>
  <c r="E264" i="6" s="1"/>
  <c r="H264" i="6" s="1"/>
  <c r="D256" i="6"/>
  <c r="E256" i="6" s="1"/>
  <c r="H256" i="6" s="1"/>
  <c r="D220" i="6"/>
  <c r="E220" i="6" s="1"/>
  <c r="H220" i="6" s="1"/>
  <c r="D204" i="6"/>
  <c r="E204" i="6" s="1"/>
  <c r="H204" i="6" s="1"/>
  <c r="D190" i="6"/>
  <c r="E190" i="6" s="1"/>
  <c r="H190" i="6" s="1"/>
  <c r="D161" i="6"/>
  <c r="E161" i="6" s="1"/>
  <c r="H161" i="6" s="1"/>
  <c r="D65" i="6"/>
  <c r="E65" i="6" s="1"/>
  <c r="H65" i="6" s="1"/>
  <c r="D57" i="6"/>
  <c r="E57" i="6" s="1"/>
  <c r="H57" i="6" s="1"/>
  <c r="D49" i="6"/>
  <c r="E49" i="6" s="1"/>
  <c r="H49" i="6" s="1"/>
  <c r="D47" i="6"/>
  <c r="E47" i="6" s="1"/>
  <c r="H47" i="6" s="1"/>
  <c r="D27" i="6"/>
  <c r="E27" i="6" s="1"/>
  <c r="H27" i="6" s="1"/>
  <c r="D82" i="6"/>
  <c r="E82" i="6" s="1"/>
  <c r="H82" i="6" s="1"/>
  <c r="D67" i="6"/>
  <c r="E67" i="6" s="1"/>
  <c r="H67" i="6" s="1"/>
  <c r="D399" i="6"/>
  <c r="E399" i="6" s="1"/>
  <c r="H399" i="6" s="1"/>
  <c r="D397" i="6"/>
  <c r="E397" i="6" s="1"/>
  <c r="H397" i="6" s="1"/>
  <c r="D381" i="6"/>
  <c r="E381" i="6" s="1"/>
  <c r="H381" i="6" s="1"/>
  <c r="D387" i="6"/>
  <c r="E387" i="6" s="1"/>
  <c r="H387" i="6" s="1"/>
  <c r="D379" i="6"/>
  <c r="E379" i="6" s="1"/>
  <c r="H379" i="6" s="1"/>
  <c r="D371" i="6"/>
  <c r="E371" i="6" s="1"/>
  <c r="H371" i="6" s="1"/>
  <c r="D401" i="6"/>
  <c r="E401" i="6" s="1"/>
  <c r="H401" i="6" s="1"/>
  <c r="D393" i="6"/>
  <c r="E393" i="6" s="1"/>
  <c r="H393" i="6" s="1"/>
  <c r="D385" i="6"/>
  <c r="E385" i="6" s="1"/>
  <c r="H385" i="6" s="1"/>
  <c r="D377" i="6"/>
  <c r="E377" i="6" s="1"/>
  <c r="H377" i="6" s="1"/>
  <c r="D369" i="6"/>
  <c r="E369" i="6" s="1"/>
  <c r="H369" i="6" s="1"/>
  <c r="D324" i="6"/>
  <c r="E324" i="6" s="1"/>
  <c r="H324" i="6" s="1"/>
  <c r="D302" i="6"/>
  <c r="E302" i="6" s="1"/>
  <c r="H302" i="6" s="1"/>
  <c r="D279" i="6"/>
  <c r="E279" i="6" s="1"/>
  <c r="H279" i="6" s="1"/>
  <c r="D270" i="6"/>
  <c r="E270" i="6" s="1"/>
  <c r="H270" i="6" s="1"/>
  <c r="D262" i="6"/>
  <c r="E262" i="6" s="1"/>
  <c r="H262" i="6" s="1"/>
  <c r="D214" i="6"/>
  <c r="E214" i="6" s="1"/>
  <c r="H214" i="6" s="1"/>
  <c r="D169" i="6"/>
  <c r="E169" i="6" s="1"/>
  <c r="H169" i="6" s="1"/>
  <c r="D63" i="6"/>
  <c r="E63" i="6" s="1"/>
  <c r="H63" i="6" s="1"/>
  <c r="D55" i="6"/>
  <c r="E55" i="6" s="1"/>
  <c r="H55" i="6" s="1"/>
  <c r="D91" i="6"/>
  <c r="E91" i="6" s="1"/>
  <c r="H91" i="6" s="1"/>
  <c r="D90" i="6"/>
  <c r="E90" i="6" s="1"/>
  <c r="H90" i="6" s="1"/>
  <c r="D75" i="6"/>
  <c r="E75" i="6" s="1"/>
  <c r="H75" i="6" s="1"/>
  <c r="D375" i="6"/>
  <c r="E375" i="6" s="1"/>
  <c r="H375" i="6" s="1"/>
  <c r="D322" i="6"/>
  <c r="E322" i="6" s="1"/>
  <c r="H322" i="6" s="1"/>
  <c r="D314" i="6"/>
  <c r="E314" i="6" s="1"/>
  <c r="H314" i="6" s="1"/>
  <c r="D306" i="6"/>
  <c r="E306" i="6" s="1"/>
  <c r="H306" i="6" s="1"/>
  <c r="D268" i="6"/>
  <c r="E268" i="6" s="1"/>
  <c r="H268" i="6" s="1"/>
  <c r="D260" i="6"/>
  <c r="E260" i="6" s="1"/>
  <c r="H260" i="6" s="1"/>
  <c r="D212" i="6"/>
  <c r="E212" i="6" s="1"/>
  <c r="H212" i="6" s="1"/>
  <c r="D196" i="6"/>
  <c r="E196" i="6" s="1"/>
  <c r="H196" i="6" s="1"/>
  <c r="D176" i="6"/>
  <c r="E176" i="6" s="1"/>
  <c r="H176" i="6" s="1"/>
  <c r="D152" i="6"/>
  <c r="E152" i="6" s="1"/>
  <c r="H152" i="6" s="1"/>
  <c r="D198" i="6"/>
  <c r="E198" i="6" s="1"/>
  <c r="H198" i="6" s="1"/>
  <c r="D185" i="6"/>
  <c r="E185" i="6" s="1"/>
  <c r="H185" i="6" s="1"/>
  <c r="D136" i="6"/>
  <c r="E136" i="6" s="1"/>
  <c r="H136" i="6" s="1"/>
  <c r="D128" i="6"/>
  <c r="E128" i="6" s="1"/>
  <c r="H128" i="6" s="1"/>
  <c r="D120" i="6"/>
  <c r="E120" i="6" s="1"/>
  <c r="H120" i="6" s="1"/>
  <c r="D112" i="6"/>
  <c r="E112" i="6" s="1"/>
  <c r="H112" i="6" s="1"/>
  <c r="D61" i="6"/>
  <c r="E61" i="6" s="1"/>
  <c r="H61" i="6" s="1"/>
  <c r="D53" i="6"/>
  <c r="E53" i="6" s="1"/>
  <c r="H53" i="6" s="1"/>
  <c r="D98" i="6"/>
  <c r="E98" i="6" s="1"/>
  <c r="H98" i="6" s="1"/>
  <c r="D83" i="6"/>
  <c r="E83" i="6" s="1"/>
  <c r="H83" i="6" s="1"/>
  <c r="D25" i="6"/>
  <c r="E25" i="6" s="1"/>
  <c r="H25" i="6" s="1"/>
  <c r="D383" i="6"/>
  <c r="E383" i="6" s="1"/>
  <c r="H383" i="6" s="1"/>
  <c r="D367" i="6"/>
  <c r="E367" i="6" s="1"/>
  <c r="H367" i="6" s="1"/>
  <c r="D373" i="6"/>
  <c r="E373" i="6" s="1"/>
  <c r="H373" i="6" s="1"/>
  <c r="D308" i="6"/>
  <c r="E308" i="6" s="1"/>
  <c r="H308" i="6" s="1"/>
  <c r="D287" i="6"/>
  <c r="E287" i="6" s="1"/>
  <c r="H287" i="6" s="1"/>
  <c r="D303" i="6"/>
  <c r="E303" i="6" s="1"/>
  <c r="H303" i="6" s="1"/>
  <c r="D266" i="6"/>
  <c r="E266" i="6" s="1"/>
  <c r="H266" i="6" s="1"/>
  <c r="D258" i="6"/>
  <c r="E258" i="6" s="1"/>
  <c r="H258" i="6" s="1"/>
  <c r="D145" i="6"/>
  <c r="E145" i="6" s="1"/>
  <c r="H145" i="6" s="1"/>
  <c r="D184" i="6"/>
  <c r="E184" i="6" s="1"/>
  <c r="H184" i="6" s="1"/>
  <c r="D153" i="6"/>
  <c r="E153" i="6" s="1"/>
  <c r="H153" i="6" s="1"/>
  <c r="D206" i="6"/>
  <c r="E206" i="6" s="1"/>
  <c r="H206" i="6" s="1"/>
  <c r="D177" i="6"/>
  <c r="E177" i="6" s="1"/>
  <c r="H177" i="6" s="1"/>
  <c r="D168" i="6"/>
  <c r="E168" i="6" s="1"/>
  <c r="H168" i="6" s="1"/>
  <c r="D59" i="6"/>
  <c r="E59" i="6" s="1"/>
  <c r="H59" i="6" s="1"/>
  <c r="D51" i="6"/>
  <c r="E51" i="6" s="1"/>
  <c r="H51" i="6" s="1"/>
  <c r="D74" i="6"/>
  <c r="E74" i="6" s="1"/>
  <c r="H74" i="6" s="1"/>
  <c r="G247" i="1"/>
  <c r="G231" i="1"/>
  <c r="E167" i="1"/>
  <c r="H167" i="1" s="1"/>
  <c r="E119" i="1"/>
  <c r="H119" i="1" s="1"/>
  <c r="G302" i="1"/>
  <c r="E183" i="1"/>
  <c r="H183" i="1" s="1"/>
  <c r="G78" i="1"/>
  <c r="G71" i="1"/>
  <c r="E181" i="1"/>
  <c r="H181" i="1" s="1"/>
  <c r="G254" i="1"/>
  <c r="G135" i="1"/>
  <c r="G158" i="1"/>
  <c r="G370" i="1"/>
  <c r="G362" i="1"/>
  <c r="G85" i="1"/>
  <c r="G117" i="1"/>
  <c r="E117" i="1"/>
  <c r="H117" i="1" s="1"/>
  <c r="G149" i="1"/>
  <c r="G215" i="1"/>
  <c r="G322" i="1"/>
  <c r="E242" i="1"/>
  <c r="H242" i="1" s="1"/>
  <c r="G145" i="1"/>
  <c r="G257" i="1"/>
  <c r="G298" i="1"/>
  <c r="E298" i="1"/>
  <c r="H298" i="1" s="1"/>
  <c r="G114" i="1"/>
  <c r="G274" i="1"/>
  <c r="G146" i="1"/>
  <c r="G355" i="1"/>
  <c r="G361" i="1"/>
  <c r="G214" i="1"/>
  <c r="G81" i="1"/>
  <c r="G265" i="1"/>
  <c r="G353" i="1"/>
  <c r="G129" i="1"/>
  <c r="G369" i="1"/>
  <c r="G289" i="1"/>
  <c r="G202" i="1"/>
  <c r="G225" i="1"/>
  <c r="G118" i="1"/>
  <c r="G187" i="1"/>
  <c r="G219" i="1"/>
  <c r="G382" i="1"/>
  <c r="G273" i="1"/>
  <c r="G378" i="1"/>
  <c r="G390" i="1"/>
  <c r="G287" i="1"/>
  <c r="G395" i="1"/>
  <c r="G58" i="1"/>
  <c r="G79" i="1"/>
  <c r="G95" i="1"/>
  <c r="G111" i="1"/>
  <c r="G143" i="1"/>
  <c r="G159" i="1"/>
  <c r="G175" i="1"/>
  <c r="G245" i="1"/>
  <c r="G255" i="1"/>
  <c r="G102" i="1"/>
  <c r="G134" i="1"/>
  <c r="G155" i="1"/>
  <c r="G246" i="1"/>
  <c r="G113" i="1"/>
  <c r="G281" i="1"/>
  <c r="G329" i="1"/>
  <c r="G65" i="1"/>
  <c r="G177" i="1"/>
  <c r="G337" i="1"/>
  <c r="G379" i="1"/>
  <c r="G198" i="1"/>
  <c r="G150" i="1"/>
  <c r="G171" i="1"/>
  <c r="G389" i="1"/>
  <c r="G383" i="1"/>
  <c r="G271" i="1"/>
  <c r="G303" i="1"/>
  <c r="G315" i="1"/>
  <c r="G323" i="1"/>
  <c r="G399" i="1"/>
  <c r="G63" i="1"/>
  <c r="G90" i="1"/>
  <c r="G106" i="1"/>
  <c r="G127" i="1"/>
  <c r="G154" i="1"/>
  <c r="G170" i="1"/>
  <c r="G191" i="1"/>
  <c r="G207" i="1"/>
  <c r="G218" i="1"/>
  <c r="G239" i="1"/>
  <c r="G75" i="1"/>
  <c r="G139" i="1"/>
  <c r="G59" i="1"/>
  <c r="G313" i="1"/>
  <c r="G377" i="1"/>
  <c r="G297" i="1"/>
  <c r="D367" i="1"/>
  <c r="E367" i="1" s="1"/>
  <c r="H367" i="1" s="1"/>
  <c r="D72" i="1"/>
  <c r="E72" i="1" s="1"/>
  <c r="H72" i="1" s="1"/>
  <c r="D144" i="1"/>
  <c r="E144" i="1" s="1"/>
  <c r="H144" i="1" s="1"/>
  <c r="D208" i="1"/>
  <c r="E208" i="1" s="1"/>
  <c r="H208" i="1" s="1"/>
  <c r="D276" i="1"/>
  <c r="E276" i="1" s="1"/>
  <c r="H276" i="1" s="1"/>
  <c r="D344" i="1"/>
  <c r="E344" i="1" s="1"/>
  <c r="H344" i="1" s="1"/>
  <c r="D388" i="1"/>
  <c r="E388" i="1" s="1"/>
  <c r="H388" i="1" s="1"/>
  <c r="D64" i="1"/>
  <c r="E64" i="1" s="1"/>
  <c r="H64" i="1" s="1"/>
  <c r="D128" i="1"/>
  <c r="E128" i="1" s="1"/>
  <c r="H128" i="1" s="1"/>
  <c r="D204" i="1"/>
  <c r="E204" i="1" s="1"/>
  <c r="H204" i="1" s="1"/>
  <c r="D280" i="1"/>
  <c r="E280" i="1" s="1"/>
  <c r="H280" i="1" s="1"/>
  <c r="D352" i="1"/>
  <c r="E352" i="1" s="1"/>
  <c r="H352" i="1" s="1"/>
  <c r="D376" i="1"/>
  <c r="E376" i="1" s="1"/>
  <c r="H376" i="1" s="1"/>
  <c r="D136" i="1"/>
  <c r="E136" i="1" s="1"/>
  <c r="H136" i="1" s="1"/>
  <c r="D212" i="1"/>
  <c r="E212" i="1" s="1"/>
  <c r="H212" i="1" s="1"/>
  <c r="D284" i="1"/>
  <c r="E284" i="1" s="1"/>
  <c r="H284" i="1" s="1"/>
  <c r="E309" i="1"/>
  <c r="H309" i="1" s="1"/>
  <c r="G309" i="1"/>
  <c r="G327" i="1"/>
  <c r="G343" i="1"/>
  <c r="D391" i="1"/>
  <c r="E391" i="1" s="1"/>
  <c r="H391" i="1" s="1"/>
  <c r="D259" i="1"/>
  <c r="E259" i="1" s="1"/>
  <c r="H259" i="1" s="1"/>
  <c r="D307" i="1"/>
  <c r="E307" i="1" s="1"/>
  <c r="H307" i="1" s="1"/>
  <c r="D375" i="1"/>
  <c r="E375" i="1" s="1"/>
  <c r="H375" i="1" s="1"/>
  <c r="E234" i="1"/>
  <c r="H234" i="1" s="1"/>
  <c r="G234" i="1"/>
  <c r="D120" i="1"/>
  <c r="E120" i="1" s="1"/>
  <c r="H120" i="1" s="1"/>
  <c r="D184" i="1"/>
  <c r="E184" i="1" s="1"/>
  <c r="H184" i="1" s="1"/>
  <c r="D252" i="1"/>
  <c r="E252" i="1" s="1"/>
  <c r="H252" i="1" s="1"/>
  <c r="D320" i="1"/>
  <c r="E320" i="1" s="1"/>
  <c r="H320" i="1" s="1"/>
  <c r="D104" i="1"/>
  <c r="E104" i="1" s="1"/>
  <c r="H104" i="1" s="1"/>
  <c r="D176" i="1"/>
  <c r="E176" i="1" s="1"/>
  <c r="H176" i="1" s="1"/>
  <c r="D256" i="1"/>
  <c r="E256" i="1" s="1"/>
  <c r="H256" i="1" s="1"/>
  <c r="D328" i="1"/>
  <c r="E328" i="1" s="1"/>
  <c r="H328" i="1" s="1"/>
  <c r="E230" i="1"/>
  <c r="H230" i="1" s="1"/>
  <c r="G230" i="1"/>
  <c r="D112" i="1"/>
  <c r="E112" i="1" s="1"/>
  <c r="H112" i="1" s="1"/>
  <c r="D192" i="1"/>
  <c r="E192" i="1" s="1"/>
  <c r="H192" i="1" s="1"/>
  <c r="D260" i="1"/>
  <c r="E260" i="1" s="1"/>
  <c r="H260" i="1" s="1"/>
  <c r="D336" i="1"/>
  <c r="E336" i="1" s="1"/>
  <c r="H336" i="1" s="1"/>
  <c r="D319" i="1"/>
  <c r="E319" i="1" s="1"/>
  <c r="H319" i="1" s="1"/>
  <c r="D351" i="1"/>
  <c r="E351" i="1" s="1"/>
  <c r="H351" i="1" s="1"/>
  <c r="G373" i="1"/>
  <c r="D263" i="1"/>
  <c r="E263" i="1" s="1"/>
  <c r="H263" i="1" s="1"/>
  <c r="D279" i="1"/>
  <c r="E279" i="1" s="1"/>
  <c r="H279" i="1" s="1"/>
  <c r="D295" i="1"/>
  <c r="E295" i="1" s="1"/>
  <c r="H295" i="1" s="1"/>
  <c r="D363" i="1"/>
  <c r="E363" i="1" s="1"/>
  <c r="H363" i="1" s="1"/>
  <c r="G371" i="1"/>
  <c r="G213" i="1"/>
  <c r="G229" i="1"/>
  <c r="E229" i="1"/>
  <c r="H229" i="1" s="1"/>
  <c r="D60" i="1"/>
  <c r="E60" i="1" s="1"/>
  <c r="H60" i="1" s="1"/>
  <c r="D80" i="1"/>
  <c r="E80" i="1" s="1"/>
  <c r="H80" i="1" s="1"/>
  <c r="D108" i="1"/>
  <c r="E108" i="1" s="1"/>
  <c r="H108" i="1" s="1"/>
  <c r="D132" i="1"/>
  <c r="E132" i="1" s="1"/>
  <c r="H132" i="1" s="1"/>
  <c r="D148" i="1"/>
  <c r="E148" i="1" s="1"/>
  <c r="H148" i="1" s="1"/>
  <c r="D172" i="1"/>
  <c r="E172" i="1" s="1"/>
  <c r="H172" i="1" s="1"/>
  <c r="D196" i="1"/>
  <c r="E196" i="1" s="1"/>
  <c r="H196" i="1" s="1"/>
  <c r="D220" i="1"/>
  <c r="E220" i="1" s="1"/>
  <c r="H220" i="1" s="1"/>
  <c r="D240" i="1"/>
  <c r="E240" i="1" s="1"/>
  <c r="H240" i="1" s="1"/>
  <c r="D264" i="1"/>
  <c r="E264" i="1" s="1"/>
  <c r="H264" i="1" s="1"/>
  <c r="D288" i="1"/>
  <c r="E288" i="1" s="1"/>
  <c r="H288" i="1" s="1"/>
  <c r="D308" i="1"/>
  <c r="E308" i="1" s="1"/>
  <c r="H308" i="1" s="1"/>
  <c r="D332" i="1"/>
  <c r="E332" i="1" s="1"/>
  <c r="H332" i="1" s="1"/>
  <c r="D356" i="1"/>
  <c r="E356" i="1" s="1"/>
  <c r="H356" i="1" s="1"/>
  <c r="D380" i="1"/>
  <c r="E380" i="1" s="1"/>
  <c r="H380" i="1" s="1"/>
  <c r="D400" i="1"/>
  <c r="E400" i="1" s="1"/>
  <c r="H400" i="1" s="1"/>
  <c r="G251" i="1"/>
  <c r="D76" i="1"/>
  <c r="E76" i="1" s="1"/>
  <c r="H76" i="1" s="1"/>
  <c r="D96" i="1"/>
  <c r="E96" i="1" s="1"/>
  <c r="H96" i="1" s="1"/>
  <c r="D116" i="1"/>
  <c r="E116" i="1" s="1"/>
  <c r="H116" i="1" s="1"/>
  <c r="D140" i="1"/>
  <c r="E140" i="1" s="1"/>
  <c r="H140" i="1" s="1"/>
  <c r="D164" i="1"/>
  <c r="E164" i="1" s="1"/>
  <c r="H164" i="1" s="1"/>
  <c r="D188" i="1"/>
  <c r="E188" i="1" s="1"/>
  <c r="H188" i="1" s="1"/>
  <c r="D216" i="1"/>
  <c r="E216" i="1" s="1"/>
  <c r="H216" i="1" s="1"/>
  <c r="D244" i="1"/>
  <c r="E244" i="1" s="1"/>
  <c r="H244" i="1" s="1"/>
  <c r="D268" i="1"/>
  <c r="E268" i="1" s="1"/>
  <c r="H268" i="1" s="1"/>
  <c r="D292" i="1"/>
  <c r="E292" i="1" s="1"/>
  <c r="H292" i="1" s="1"/>
  <c r="D316" i="1"/>
  <c r="E316" i="1" s="1"/>
  <c r="H316" i="1" s="1"/>
  <c r="D340" i="1"/>
  <c r="E340" i="1" s="1"/>
  <c r="H340" i="1" s="1"/>
  <c r="D364" i="1"/>
  <c r="E364" i="1" s="1"/>
  <c r="H364" i="1" s="1"/>
  <c r="D392" i="1"/>
  <c r="E392" i="1" s="1"/>
  <c r="H392" i="1" s="1"/>
  <c r="G86" i="1"/>
  <c r="G107" i="1"/>
  <c r="G182" i="1"/>
  <c r="D68" i="1"/>
  <c r="E68" i="1" s="1"/>
  <c r="H68" i="1" s="1"/>
  <c r="D100" i="1"/>
  <c r="E100" i="1" s="1"/>
  <c r="H100" i="1" s="1"/>
  <c r="D124" i="1"/>
  <c r="E124" i="1" s="1"/>
  <c r="H124" i="1" s="1"/>
  <c r="D156" i="1"/>
  <c r="E156" i="1" s="1"/>
  <c r="H156" i="1" s="1"/>
  <c r="D180" i="1"/>
  <c r="E180" i="1" s="1"/>
  <c r="H180" i="1" s="1"/>
  <c r="D200" i="1"/>
  <c r="E200" i="1" s="1"/>
  <c r="H200" i="1" s="1"/>
  <c r="D224" i="1"/>
  <c r="E224" i="1" s="1"/>
  <c r="H224" i="1" s="1"/>
  <c r="D248" i="1"/>
  <c r="E248" i="1" s="1"/>
  <c r="H248" i="1" s="1"/>
  <c r="D272" i="1"/>
  <c r="E272" i="1" s="1"/>
  <c r="H272" i="1" s="1"/>
  <c r="D300" i="1"/>
  <c r="E300" i="1" s="1"/>
  <c r="H300" i="1" s="1"/>
  <c r="D324" i="1"/>
  <c r="E324" i="1" s="1"/>
  <c r="H324" i="1" s="1"/>
  <c r="D348" i="1"/>
  <c r="E348" i="1" s="1"/>
  <c r="H348" i="1" s="1"/>
  <c r="D372" i="1"/>
  <c r="E372" i="1" s="1"/>
  <c r="H372" i="1" s="1"/>
  <c r="D396" i="1"/>
  <c r="E396" i="1" s="1"/>
  <c r="H396" i="1" s="1"/>
  <c r="G123" i="1"/>
  <c r="G193" i="1"/>
  <c r="G203" i="1"/>
  <c r="G241" i="1"/>
  <c r="D275" i="1"/>
  <c r="E275" i="1" s="1"/>
  <c r="H275" i="1" s="1"/>
  <c r="D291" i="1"/>
  <c r="E291" i="1" s="1"/>
  <c r="H291" i="1" s="1"/>
  <c r="D92" i="1"/>
  <c r="E92" i="1" s="1"/>
  <c r="H92" i="1" s="1"/>
  <c r="D160" i="1"/>
  <c r="E160" i="1" s="1"/>
  <c r="H160" i="1" s="1"/>
  <c r="D228" i="1"/>
  <c r="E228" i="1" s="1"/>
  <c r="H228" i="1" s="1"/>
  <c r="D296" i="1"/>
  <c r="E296" i="1" s="1"/>
  <c r="H296" i="1" s="1"/>
  <c r="D368" i="1"/>
  <c r="E368" i="1" s="1"/>
  <c r="H368" i="1" s="1"/>
  <c r="D84" i="1"/>
  <c r="E84" i="1" s="1"/>
  <c r="H84" i="1" s="1"/>
  <c r="D152" i="1"/>
  <c r="E152" i="1" s="1"/>
  <c r="H152" i="1" s="1"/>
  <c r="D232" i="1"/>
  <c r="E232" i="1" s="1"/>
  <c r="H232" i="1" s="1"/>
  <c r="D304" i="1"/>
  <c r="E304" i="1" s="1"/>
  <c r="H304" i="1" s="1"/>
  <c r="D88" i="1"/>
  <c r="E88" i="1" s="1"/>
  <c r="H88" i="1" s="1"/>
  <c r="D168" i="1"/>
  <c r="E168" i="1" s="1"/>
  <c r="H168" i="1" s="1"/>
  <c r="D236" i="1"/>
  <c r="E236" i="1" s="1"/>
  <c r="H236" i="1" s="1"/>
  <c r="D312" i="1"/>
  <c r="E312" i="1" s="1"/>
  <c r="H312" i="1" s="1"/>
  <c r="D360" i="1"/>
  <c r="E360" i="1" s="1"/>
  <c r="H360" i="1" s="1"/>
  <c r="D384" i="1"/>
  <c r="E384" i="1" s="1"/>
  <c r="H384" i="1" s="1"/>
  <c r="D335" i="1"/>
  <c r="E335" i="1" s="1"/>
  <c r="H335" i="1" s="1"/>
  <c r="G235" i="1"/>
  <c r="E321" i="1"/>
  <c r="H321" i="1" s="1"/>
  <c r="G321" i="1"/>
  <c r="G385" i="1"/>
  <c r="F259" i="1"/>
  <c r="G267" i="1"/>
  <c r="F275" i="1"/>
  <c r="G283" i="1"/>
  <c r="F291" i="1"/>
  <c r="G299" i="1"/>
  <c r="F307" i="1"/>
  <c r="D331" i="1"/>
  <c r="E331" i="1" s="1"/>
  <c r="H331" i="1" s="1"/>
  <c r="G339" i="1"/>
  <c r="D347" i="1"/>
  <c r="E347" i="1" s="1"/>
  <c r="H347" i="1" s="1"/>
  <c r="F367" i="1"/>
  <c r="F375" i="1"/>
  <c r="D387" i="1"/>
  <c r="E387" i="1" s="1"/>
  <c r="H387" i="1" s="1"/>
  <c r="E197" i="1"/>
  <c r="H197" i="1" s="1"/>
  <c r="G197" i="1"/>
  <c r="G223" i="1"/>
  <c r="G250" i="1"/>
  <c r="G262" i="1"/>
  <c r="F72" i="1"/>
  <c r="F92" i="1"/>
  <c r="F120" i="1"/>
  <c r="F144" i="1"/>
  <c r="F160" i="1"/>
  <c r="F184" i="1"/>
  <c r="F208" i="1"/>
  <c r="F228" i="1"/>
  <c r="F252" i="1"/>
  <c r="F276" i="1"/>
  <c r="F296" i="1"/>
  <c r="F320" i="1"/>
  <c r="F344" i="1"/>
  <c r="F368" i="1"/>
  <c r="F388" i="1"/>
  <c r="E166" i="1"/>
  <c r="H166" i="1" s="1"/>
  <c r="G166" i="1"/>
  <c r="G209" i="1"/>
  <c r="F64" i="1"/>
  <c r="F84" i="1"/>
  <c r="F104" i="1"/>
  <c r="F128" i="1"/>
  <c r="F152" i="1"/>
  <c r="F176" i="1"/>
  <c r="F204" i="1"/>
  <c r="F232" i="1"/>
  <c r="F256" i="1"/>
  <c r="F280" i="1"/>
  <c r="F304" i="1"/>
  <c r="F328" i="1"/>
  <c r="F352" i="1"/>
  <c r="F376" i="1"/>
  <c r="F88" i="1"/>
  <c r="F112" i="1"/>
  <c r="F136" i="1"/>
  <c r="F168" i="1"/>
  <c r="F192" i="1"/>
  <c r="F212" i="1"/>
  <c r="F236" i="1"/>
  <c r="F260" i="1"/>
  <c r="F284" i="1"/>
  <c r="F312" i="1"/>
  <c r="F336" i="1"/>
  <c r="F360" i="1"/>
  <c r="F384" i="1"/>
  <c r="G70" i="1"/>
  <c r="G91" i="1"/>
  <c r="G50" i="1"/>
  <c r="G46" i="1"/>
  <c r="G54" i="1"/>
  <c r="G47" i="1"/>
  <c r="G49" i="1"/>
  <c r="G55" i="1"/>
  <c r="D51" i="1"/>
  <c r="E51" i="1" s="1"/>
  <c r="H51" i="1" s="1"/>
  <c r="F51" i="1"/>
  <c r="D42" i="1"/>
  <c r="F42" i="1"/>
  <c r="F41" i="1"/>
  <c r="D41" i="1"/>
  <c r="E41" i="1" s="1"/>
  <c r="H41" i="1" s="1"/>
  <c r="D44" i="1"/>
  <c r="E44" i="1" s="1"/>
  <c r="H44" i="1" s="1"/>
  <c r="F44" i="1"/>
  <c r="F43" i="1"/>
  <c r="D43" i="1"/>
  <c r="E43" i="1" s="1"/>
  <c r="H43" i="1" s="1"/>
  <c r="D40" i="1"/>
  <c r="F40" i="1"/>
  <c r="F39" i="1"/>
  <c r="D39" i="1"/>
  <c r="E39" i="1" s="1"/>
  <c r="H39" i="1" s="1"/>
  <c r="F38" i="1"/>
  <c r="D38" i="1"/>
  <c r="E38" i="1" s="1"/>
  <c r="H38" i="1" s="1"/>
  <c r="F34" i="1"/>
  <c r="F32" i="1"/>
  <c r="F36" i="1"/>
  <c r="D36" i="1"/>
  <c r="E36" i="1" s="1"/>
  <c r="H36" i="1" s="1"/>
  <c r="G37" i="1"/>
  <c r="E37" i="1"/>
  <c r="H37" i="1" s="1"/>
  <c r="F37" i="1"/>
  <c r="G34" i="1"/>
  <c r="G32" i="1"/>
  <c r="F33" i="1"/>
  <c r="G33" i="1"/>
  <c r="C35" i="1"/>
  <c r="F35" i="1" s="1"/>
  <c r="B3" i="1"/>
  <c r="C3" i="1" s="1"/>
  <c r="B4" i="1"/>
  <c r="C4" i="1" s="1"/>
  <c r="F4" i="1" s="1"/>
  <c r="B5" i="1"/>
  <c r="C5" i="1" s="1"/>
  <c r="B6" i="1"/>
  <c r="B7" i="1"/>
  <c r="C7" i="1" s="1"/>
  <c r="D7" i="1" s="1"/>
  <c r="B8" i="1"/>
  <c r="C8" i="1" s="1"/>
  <c r="D8" i="1" s="1"/>
  <c r="E8" i="1" s="1"/>
  <c r="H8" i="1" s="1"/>
  <c r="B9" i="1"/>
  <c r="B10" i="1"/>
  <c r="B11" i="1"/>
  <c r="C11" i="1" s="1"/>
  <c r="B12" i="1"/>
  <c r="C12" i="1" s="1"/>
  <c r="B13" i="1"/>
  <c r="C13" i="1" s="1"/>
  <c r="D13" i="1" s="1"/>
  <c r="E13" i="1" s="1"/>
  <c r="H13" i="1" s="1"/>
  <c r="B14" i="1"/>
  <c r="B15" i="1"/>
  <c r="C15" i="1" s="1"/>
  <c r="D15" i="1" s="1"/>
  <c r="E15" i="1" s="1"/>
  <c r="H15" i="1" s="1"/>
  <c r="B16" i="1"/>
  <c r="B17" i="1"/>
  <c r="B18" i="1"/>
  <c r="B19" i="1"/>
  <c r="C19" i="1" s="1"/>
  <c r="B20" i="1"/>
  <c r="C20" i="1" s="1"/>
  <c r="F20" i="1" s="1"/>
  <c r="B21" i="1"/>
  <c r="B22" i="1"/>
  <c r="B23" i="1"/>
  <c r="C23" i="1" s="1"/>
  <c r="D23" i="1" s="1"/>
  <c r="E23" i="1" s="1"/>
  <c r="H23" i="1" s="1"/>
  <c r="B24" i="1"/>
  <c r="C24" i="1" s="1"/>
  <c r="B25" i="1"/>
  <c r="B26" i="1"/>
  <c r="B27" i="1"/>
  <c r="C27" i="1" s="1"/>
  <c r="B28" i="1"/>
  <c r="C28" i="1" s="1"/>
  <c r="F28" i="1" s="1"/>
  <c r="B29" i="1"/>
  <c r="C29" i="1" s="1"/>
  <c r="B30" i="1"/>
  <c r="B31" i="1"/>
  <c r="C31" i="1" s="1"/>
  <c r="D31" i="1" s="1"/>
  <c r="E31" i="1" s="1"/>
  <c r="H31" i="1" s="1"/>
  <c r="C16" i="1"/>
  <c r="D16" i="1" s="1"/>
  <c r="E16" i="1" s="1"/>
  <c r="H16" i="1" s="1"/>
  <c r="R3" i="7" l="1"/>
  <c r="S3" i="7"/>
  <c r="K2" i="7"/>
  <c r="P2" i="7" s="1"/>
  <c r="J3" i="7"/>
  <c r="K3" i="7"/>
  <c r="P3" i="7" s="1"/>
  <c r="G402" i="6"/>
  <c r="O27" i="6" s="1"/>
  <c r="S24" i="6" s="1"/>
  <c r="G100" i="1"/>
  <c r="G172" i="1"/>
  <c r="G264" i="1"/>
  <c r="G200" i="1"/>
  <c r="G356" i="1"/>
  <c r="G176" i="1"/>
  <c r="G252" i="1"/>
  <c r="G396" i="1"/>
  <c r="G335" i="1"/>
  <c r="G300" i="1"/>
  <c r="G80" i="1"/>
  <c r="G391" i="1"/>
  <c r="G348" i="1"/>
  <c r="G156" i="1"/>
  <c r="G400" i="1"/>
  <c r="G220" i="1"/>
  <c r="G204" i="1"/>
  <c r="G296" i="1"/>
  <c r="G248" i="1"/>
  <c r="G308" i="1"/>
  <c r="G132" i="1"/>
  <c r="G88" i="1"/>
  <c r="G232" i="1"/>
  <c r="G84" i="1"/>
  <c r="G364" i="1"/>
  <c r="G316" i="1"/>
  <c r="G268" i="1"/>
  <c r="G216" i="1"/>
  <c r="G164" i="1"/>
  <c r="G116" i="1"/>
  <c r="G76" i="1"/>
  <c r="G351" i="1"/>
  <c r="G112" i="1"/>
  <c r="G328" i="1"/>
  <c r="G212" i="1"/>
  <c r="G352" i="1"/>
  <c r="G388" i="1"/>
  <c r="G276" i="1"/>
  <c r="G144" i="1"/>
  <c r="G236" i="1"/>
  <c r="G372" i="1"/>
  <c r="G324" i="1"/>
  <c r="G272" i="1"/>
  <c r="G224" i="1"/>
  <c r="G180" i="1"/>
  <c r="G124" i="1"/>
  <c r="G68" i="1"/>
  <c r="G380" i="1"/>
  <c r="G332" i="1"/>
  <c r="G288" i="1"/>
  <c r="G240" i="1"/>
  <c r="G196" i="1"/>
  <c r="G148" i="1"/>
  <c r="G108" i="1"/>
  <c r="G60" i="1"/>
  <c r="G260" i="1"/>
  <c r="G331" i="1"/>
  <c r="G360" i="1"/>
  <c r="G304" i="1"/>
  <c r="G152" i="1"/>
  <c r="G160" i="1"/>
  <c r="G392" i="1"/>
  <c r="G340" i="1"/>
  <c r="G292" i="1"/>
  <c r="G244" i="1"/>
  <c r="G188" i="1"/>
  <c r="G140" i="1"/>
  <c r="G96" i="1"/>
  <c r="G319" i="1"/>
  <c r="G120" i="1"/>
  <c r="G64" i="1"/>
  <c r="G344" i="1"/>
  <c r="G208" i="1"/>
  <c r="G72" i="1"/>
  <c r="G275" i="1"/>
  <c r="G307" i="1"/>
  <c r="G295" i="1"/>
  <c r="G263" i="1"/>
  <c r="G387" i="1"/>
  <c r="G347" i="1"/>
  <c r="G384" i="1"/>
  <c r="G312" i="1"/>
  <c r="G168" i="1"/>
  <c r="G368" i="1"/>
  <c r="G228" i="1"/>
  <c r="G92" i="1"/>
  <c r="G291" i="1"/>
  <c r="G363" i="1"/>
  <c r="G279" i="1"/>
  <c r="G336" i="1"/>
  <c r="G192" i="1"/>
  <c r="G256" i="1"/>
  <c r="G104" i="1"/>
  <c r="G320" i="1"/>
  <c r="G184" i="1"/>
  <c r="G375" i="1"/>
  <c r="G259" i="1"/>
  <c r="G284" i="1"/>
  <c r="G136" i="1"/>
  <c r="G376" i="1"/>
  <c r="G280" i="1"/>
  <c r="G128" i="1"/>
  <c r="G367" i="1"/>
  <c r="G51" i="1"/>
  <c r="G41" i="1"/>
  <c r="G44" i="1"/>
  <c r="G39" i="1"/>
  <c r="G43" i="1"/>
  <c r="E40" i="1"/>
  <c r="H40" i="1" s="1"/>
  <c r="G40" i="1"/>
  <c r="E42" i="1"/>
  <c r="H42" i="1" s="1"/>
  <c r="G42" i="1"/>
  <c r="G38" i="1"/>
  <c r="G36" i="1"/>
  <c r="D35" i="1"/>
  <c r="E35" i="1" s="1"/>
  <c r="H35" i="1" s="1"/>
  <c r="F16" i="1"/>
  <c r="F31" i="1"/>
  <c r="G31" i="1"/>
  <c r="F23" i="1"/>
  <c r="F7" i="1"/>
  <c r="F15" i="1"/>
  <c r="D12" i="1"/>
  <c r="E12" i="1" s="1"/>
  <c r="H12" i="1" s="1"/>
  <c r="F12" i="1"/>
  <c r="G23" i="1"/>
  <c r="D20" i="1"/>
  <c r="E20" i="1" s="1"/>
  <c r="H20" i="1" s="1"/>
  <c r="D4" i="1"/>
  <c r="E4" i="1" s="1"/>
  <c r="H4" i="1" s="1"/>
  <c r="D28" i="1"/>
  <c r="E28" i="1" s="1"/>
  <c r="H28" i="1" s="1"/>
  <c r="G16" i="1"/>
  <c r="D11" i="1"/>
  <c r="E11" i="1" s="1"/>
  <c r="H11" i="1" s="1"/>
  <c r="F11" i="1"/>
  <c r="F27" i="1"/>
  <c r="D27" i="1"/>
  <c r="E27" i="1" s="1"/>
  <c r="H27" i="1" s="1"/>
  <c r="C9" i="1"/>
  <c r="F9" i="1" s="1"/>
  <c r="C25" i="1"/>
  <c r="F25" i="1" s="1"/>
  <c r="C21" i="1"/>
  <c r="D21" i="1" s="1"/>
  <c r="E21" i="1" s="1"/>
  <c r="H21" i="1" s="1"/>
  <c r="C17" i="1"/>
  <c r="F17" i="1" s="1"/>
  <c r="D5" i="1"/>
  <c r="E5" i="1" s="1"/>
  <c r="H5" i="1" s="1"/>
  <c r="F5" i="1"/>
  <c r="G15" i="1"/>
  <c r="E7" i="1"/>
  <c r="H7" i="1" s="1"/>
  <c r="G7" i="1"/>
  <c r="D24" i="1"/>
  <c r="E24" i="1" s="1"/>
  <c r="H24" i="1" s="1"/>
  <c r="F24" i="1"/>
  <c r="G13" i="1"/>
  <c r="G8" i="1"/>
  <c r="D29" i="1"/>
  <c r="E29" i="1" s="1"/>
  <c r="H29" i="1" s="1"/>
  <c r="F29" i="1"/>
  <c r="F13" i="1"/>
  <c r="F8" i="1"/>
  <c r="C30" i="1"/>
  <c r="F30" i="1" s="1"/>
  <c r="C26" i="1"/>
  <c r="F26" i="1" s="1"/>
  <c r="C22" i="1"/>
  <c r="F22" i="1" s="1"/>
  <c r="C18" i="1"/>
  <c r="F18" i="1" s="1"/>
  <c r="C14" i="1"/>
  <c r="F14" i="1" s="1"/>
  <c r="C6" i="1"/>
  <c r="F6" i="1" s="1"/>
  <c r="D19" i="1"/>
  <c r="E19" i="1" s="1"/>
  <c r="H19" i="1" s="1"/>
  <c r="F19" i="1"/>
  <c r="C10" i="1"/>
  <c r="F10" i="1" s="1"/>
  <c r="D3" i="1"/>
  <c r="E3" i="1" s="1"/>
  <c r="H3" i="1" s="1"/>
  <c r="F3" i="1"/>
  <c r="K4" i="7" l="1"/>
  <c r="P4" i="7" s="1"/>
  <c r="R4" i="7"/>
  <c r="S4" i="7"/>
  <c r="J4" i="7"/>
  <c r="I358" i="6"/>
  <c r="I356" i="6"/>
  <c r="I354" i="6"/>
  <c r="I352" i="6"/>
  <c r="I350" i="6"/>
  <c r="I143" i="6"/>
  <c r="I135" i="6"/>
  <c r="I127" i="6"/>
  <c r="I119" i="6"/>
  <c r="I111" i="6"/>
  <c r="I2" i="6"/>
  <c r="K2" i="6" s="1"/>
  <c r="I47" i="6"/>
  <c r="I45" i="6"/>
  <c r="I57" i="6"/>
  <c r="I41" i="6"/>
  <c r="I260" i="6"/>
  <c r="I274" i="6"/>
  <c r="I270" i="6"/>
  <c r="I330" i="6"/>
  <c r="I333" i="6"/>
  <c r="I341" i="6"/>
  <c r="I385" i="6"/>
  <c r="I328" i="6"/>
  <c r="I393" i="6"/>
  <c r="I395" i="6"/>
  <c r="I49" i="6"/>
  <c r="I65" i="6"/>
  <c r="I59" i="6"/>
  <c r="I10" i="6"/>
  <c r="I14" i="6"/>
  <c r="I18" i="6"/>
  <c r="I22" i="6"/>
  <c r="I67" i="6"/>
  <c r="I264" i="6"/>
  <c r="I272" i="6"/>
  <c r="I367" i="6"/>
  <c r="I53" i="6"/>
  <c r="I37" i="6"/>
  <c r="I39" i="6"/>
  <c r="I61" i="6"/>
  <c r="I95" i="6"/>
  <c r="I258" i="6"/>
  <c r="I291" i="6"/>
  <c r="I266" i="6"/>
  <c r="I332" i="6"/>
  <c r="I337" i="6"/>
  <c r="I345" i="6"/>
  <c r="I375" i="6"/>
  <c r="I369" i="6"/>
  <c r="I401" i="6"/>
  <c r="I371" i="6"/>
  <c r="I373" i="6"/>
  <c r="I377" i="6"/>
  <c r="I366" i="6"/>
  <c r="I391" i="6"/>
  <c r="I343" i="6"/>
  <c r="I399" i="6"/>
  <c r="I51" i="6"/>
  <c r="I31" i="6"/>
  <c r="I29" i="6"/>
  <c r="I6" i="6"/>
  <c r="I12" i="6"/>
  <c r="I16" i="6"/>
  <c r="I20" i="6"/>
  <c r="I24" i="6"/>
  <c r="I8" i="6"/>
  <c r="I103" i="6"/>
  <c r="I262" i="6"/>
  <c r="I256" i="6"/>
  <c r="I268" i="6"/>
  <c r="I283" i="6"/>
  <c r="I339" i="6"/>
  <c r="I383" i="6"/>
  <c r="I349" i="6"/>
  <c r="I379" i="6"/>
  <c r="I381" i="6"/>
  <c r="I347" i="6"/>
  <c r="I364" i="6"/>
  <c r="I387" i="6"/>
  <c r="I389" i="6"/>
  <c r="I335" i="6"/>
  <c r="I362" i="6"/>
  <c r="I397" i="6"/>
  <c r="I353" i="6"/>
  <c r="I282" i="6"/>
  <c r="I292" i="6"/>
  <c r="I252" i="6"/>
  <c r="I222" i="6"/>
  <c r="I86" i="6"/>
  <c r="I165" i="6"/>
  <c r="I116" i="6"/>
  <c r="I300" i="6"/>
  <c r="I168" i="6"/>
  <c r="I188" i="6"/>
  <c r="I74" i="6"/>
  <c r="I23" i="6"/>
  <c r="I314" i="6"/>
  <c r="I334" i="6"/>
  <c r="I301" i="6"/>
  <c r="I231" i="6"/>
  <c r="I228" i="6"/>
  <c r="I198" i="6"/>
  <c r="I234" i="6"/>
  <c r="I204" i="6"/>
  <c r="I98" i="6"/>
  <c r="I112" i="6"/>
  <c r="I70" i="6"/>
  <c r="I104" i="6"/>
  <c r="I87" i="6"/>
  <c r="I97" i="6"/>
  <c r="I290" i="6"/>
  <c r="I278" i="6"/>
  <c r="I313" i="6"/>
  <c r="I184" i="6"/>
  <c r="I211" i="6"/>
  <c r="I163" i="6"/>
  <c r="I133" i="6"/>
  <c r="I42" i="6"/>
  <c r="I25" i="6"/>
  <c r="I7" i="6"/>
  <c r="I329" i="6"/>
  <c r="I327" i="6"/>
  <c r="I344" i="6"/>
  <c r="I226" i="6"/>
  <c r="I236" i="6"/>
  <c r="I206" i="6"/>
  <c r="I126" i="6"/>
  <c r="I140" i="6"/>
  <c r="I108" i="6"/>
  <c r="I63" i="6"/>
  <c r="I107" i="6"/>
  <c r="I357" i="6"/>
  <c r="I348" i="6"/>
  <c r="I172" i="6"/>
  <c r="I161" i="6"/>
  <c r="I130" i="6"/>
  <c r="I19" i="6"/>
  <c r="I316" i="6"/>
  <c r="I276" i="6"/>
  <c r="I320" i="6"/>
  <c r="I305" i="6"/>
  <c r="I194" i="6"/>
  <c r="I245" i="6"/>
  <c r="I255" i="6"/>
  <c r="I187" i="6"/>
  <c r="I223" i="6"/>
  <c r="I189" i="6"/>
  <c r="I88" i="6"/>
  <c r="I40" i="6"/>
  <c r="I85" i="6"/>
  <c r="I284" i="6"/>
  <c r="I180" i="6"/>
  <c r="I151" i="6"/>
  <c r="I125" i="6"/>
  <c r="I34" i="6"/>
  <c r="I21" i="6"/>
  <c r="I324" i="6"/>
  <c r="I319" i="6"/>
  <c r="I340" i="6"/>
  <c r="I299" i="6"/>
  <c r="I210" i="6"/>
  <c r="I106" i="6"/>
  <c r="I219" i="6"/>
  <c r="I138" i="6"/>
  <c r="I195" i="6"/>
  <c r="I132" i="6"/>
  <c r="I96" i="6"/>
  <c r="I30" i="6"/>
  <c r="I36" i="6"/>
  <c r="I359" i="6"/>
  <c r="I322" i="6"/>
  <c r="I156" i="6"/>
  <c r="I155" i="6"/>
  <c r="I101" i="6"/>
  <c r="I5" i="6"/>
  <c r="I15" i="6"/>
  <c r="I363" i="6"/>
  <c r="I298" i="6"/>
  <c r="I342" i="6"/>
  <c r="I285" i="6"/>
  <c r="I229" i="6"/>
  <c r="I250" i="6"/>
  <c r="I174" i="6"/>
  <c r="I142" i="6"/>
  <c r="I157" i="6"/>
  <c r="I159" i="6"/>
  <c r="I72" i="6"/>
  <c r="I123" i="6"/>
  <c r="I71" i="6"/>
  <c r="I355" i="6"/>
  <c r="I164" i="6"/>
  <c r="I118" i="6"/>
  <c r="I201" i="6"/>
  <c r="I114" i="6"/>
  <c r="I117" i="6"/>
  <c r="I93" i="6"/>
  <c r="I9" i="6"/>
  <c r="I55" i="6"/>
  <c r="I17" i="6"/>
  <c r="I90" i="6"/>
  <c r="I79" i="6"/>
  <c r="I139" i="6"/>
  <c r="I44" i="6"/>
  <c r="I33" i="6"/>
  <c r="I365" i="6"/>
  <c r="I308" i="6"/>
  <c r="I311" i="6"/>
  <c r="I336" i="6"/>
  <c r="I176" i="6"/>
  <c r="I173" i="6"/>
  <c r="I82" i="6"/>
  <c r="I102" i="6"/>
  <c r="I179" i="6"/>
  <c r="I124" i="6"/>
  <c r="I80" i="6"/>
  <c r="I69" i="6"/>
  <c r="I131" i="6"/>
  <c r="I351" i="6"/>
  <c r="I306" i="6"/>
  <c r="I202" i="6"/>
  <c r="I225" i="6"/>
  <c r="I134" i="6"/>
  <c r="I78" i="6"/>
  <c r="I27" i="6"/>
  <c r="I11" i="6"/>
  <c r="I346" i="6"/>
  <c r="I338" i="6"/>
  <c r="I247" i="6"/>
  <c r="I244" i="6"/>
  <c r="I214" i="6"/>
  <c r="I227" i="6"/>
  <c r="I110" i="6"/>
  <c r="I144" i="6"/>
  <c r="I122" i="6"/>
  <c r="I193" i="6"/>
  <c r="I147" i="6"/>
  <c r="I115" i="6"/>
  <c r="I46" i="6"/>
  <c r="I3" i="6"/>
  <c r="I361" i="6"/>
  <c r="I275" i="6"/>
  <c r="I218" i="6"/>
  <c r="I148" i="6"/>
  <c r="I136" i="6"/>
  <c r="I94" i="6"/>
  <c r="I141" i="6"/>
  <c r="I109" i="6"/>
  <c r="I13" i="6"/>
  <c r="I52" i="6"/>
  <c r="I368" i="6"/>
  <c r="I177" i="6"/>
  <c r="I56" i="6"/>
  <c r="I150" i="6"/>
  <c r="I312" i="6"/>
  <c r="I398" i="6"/>
  <c r="I221" i="6"/>
  <c r="I273" i="6"/>
  <c r="I259" i="6"/>
  <c r="I166" i="6"/>
  <c r="I286" i="6"/>
  <c r="I288" i="6"/>
  <c r="I392" i="6"/>
  <c r="I323" i="6"/>
  <c r="I92" i="6"/>
  <c r="I388" i="6"/>
  <c r="I251" i="6"/>
  <c r="I76" i="6"/>
  <c r="I200" i="6"/>
  <c r="I205" i="6"/>
  <c r="I281" i="6"/>
  <c r="I167" i="6"/>
  <c r="I35" i="6"/>
  <c r="I213" i="6"/>
  <c r="I183" i="6"/>
  <c r="I241" i="6"/>
  <c r="I310" i="6"/>
  <c r="I83" i="6"/>
  <c r="I246" i="6"/>
  <c r="I390" i="6"/>
  <c r="I4" i="6"/>
  <c r="I220" i="6"/>
  <c r="I84" i="6"/>
  <c r="I400" i="6"/>
  <c r="I249" i="6"/>
  <c r="I113" i="6"/>
  <c r="I242" i="6"/>
  <c r="I160" i="6"/>
  <c r="I263" i="6"/>
  <c r="I378" i="6"/>
  <c r="I58" i="6"/>
  <c r="I237" i="6"/>
  <c r="I178" i="6"/>
  <c r="I235" i="6"/>
  <c r="I38" i="6"/>
  <c r="I232" i="6"/>
  <c r="I43" i="6"/>
  <c r="I254" i="6"/>
  <c r="I154" i="6"/>
  <c r="I224" i="6"/>
  <c r="I248" i="6"/>
  <c r="I66" i="6"/>
  <c r="I230" i="6"/>
  <c r="I295" i="6"/>
  <c r="I146" i="6"/>
  <c r="I91" i="6"/>
  <c r="I149" i="6"/>
  <c r="I293" i="6"/>
  <c r="I360" i="6"/>
  <c r="I181" i="6"/>
  <c r="I287" i="6"/>
  <c r="I240" i="6"/>
  <c r="I77" i="6"/>
  <c r="I170" i="6"/>
  <c r="I326" i="6"/>
  <c r="I48" i="6"/>
  <c r="I128" i="6"/>
  <c r="I279" i="6"/>
  <c r="I233" i="6"/>
  <c r="I294" i="6"/>
  <c r="I105" i="6"/>
  <c r="I238" i="6"/>
  <c r="I182" i="6"/>
  <c r="I190" i="6"/>
  <c r="I302" i="6"/>
  <c r="I186" i="6"/>
  <c r="I331" i="6"/>
  <c r="I239" i="6"/>
  <c r="I309" i="6"/>
  <c r="I129" i="6"/>
  <c r="I32" i="6"/>
  <c r="I209" i="6"/>
  <c r="I297" i="6"/>
  <c r="I394" i="6"/>
  <c r="I158" i="6"/>
  <c r="I257" i="6"/>
  <c r="I175" i="6"/>
  <c r="I203" i="6"/>
  <c r="I243" i="6"/>
  <c r="I81" i="6"/>
  <c r="I253" i="6"/>
  <c r="I192" i="6"/>
  <c r="I289" i="6"/>
  <c r="I100" i="6"/>
  <c r="I120" i="6"/>
  <c r="I382" i="6"/>
  <c r="I212" i="6"/>
  <c r="I265" i="6"/>
  <c r="I317" i="6"/>
  <c r="I208" i="6"/>
  <c r="I307" i="6"/>
  <c r="I73" i="6"/>
  <c r="I196" i="6"/>
  <c r="I277" i="6"/>
  <c r="I372" i="6"/>
  <c r="I28" i="6"/>
  <c r="I152" i="6"/>
  <c r="I321" i="6"/>
  <c r="I318" i="6"/>
  <c r="I217" i="6"/>
  <c r="I50" i="6"/>
  <c r="I89" i="6"/>
  <c r="I145" i="6"/>
  <c r="I171" i="6"/>
  <c r="I216" i="6"/>
  <c r="I162" i="6"/>
  <c r="I374" i="6"/>
  <c r="I280" i="6"/>
  <c r="O25" i="6"/>
  <c r="I60" i="6"/>
  <c r="I191" i="6"/>
  <c r="I99" i="6"/>
  <c r="I271" i="6"/>
  <c r="I376" i="6"/>
  <c r="I137" i="6"/>
  <c r="I75" i="6"/>
  <c r="I325" i="6"/>
  <c r="I261" i="6"/>
  <c r="I304" i="6"/>
  <c r="I185" i="6"/>
  <c r="I197" i="6"/>
  <c r="I207" i="6"/>
  <c r="I62" i="6"/>
  <c r="I68" i="6"/>
  <c r="I269" i="6"/>
  <c r="I386" i="6"/>
  <c r="I64" i="6"/>
  <c r="I121" i="6"/>
  <c r="I384" i="6"/>
  <c r="I267" i="6"/>
  <c r="I396" i="6"/>
  <c r="I303" i="6"/>
  <c r="I199" i="6"/>
  <c r="I169" i="6"/>
  <c r="I370" i="6"/>
  <c r="I380" i="6"/>
  <c r="I315" i="6"/>
  <c r="I54" i="6"/>
  <c r="I26" i="6"/>
  <c r="I153" i="6"/>
  <c r="I296" i="6"/>
  <c r="I215" i="6"/>
  <c r="O24" i="6"/>
  <c r="G35" i="1"/>
  <c r="G20" i="1"/>
  <c r="G12" i="1"/>
  <c r="G4" i="1"/>
  <c r="G28" i="1"/>
  <c r="G11" i="1"/>
  <c r="G27" i="1"/>
  <c r="G21" i="1"/>
  <c r="D17" i="1"/>
  <c r="E17" i="1" s="1"/>
  <c r="H17" i="1" s="1"/>
  <c r="D25" i="1"/>
  <c r="E25" i="1" s="1"/>
  <c r="H25" i="1" s="1"/>
  <c r="D9" i="1"/>
  <c r="E9" i="1" s="1"/>
  <c r="H9" i="1" s="1"/>
  <c r="G5" i="1"/>
  <c r="F21" i="1"/>
  <c r="G29" i="1"/>
  <c r="G24" i="1"/>
  <c r="D14" i="1"/>
  <c r="E14" i="1" s="1"/>
  <c r="H14" i="1" s="1"/>
  <c r="D22" i="1"/>
  <c r="E22" i="1" s="1"/>
  <c r="H22" i="1" s="1"/>
  <c r="D30" i="1"/>
  <c r="D10" i="1"/>
  <c r="E10" i="1" s="1"/>
  <c r="H10" i="1" s="1"/>
  <c r="D6" i="1"/>
  <c r="E6" i="1" s="1"/>
  <c r="H6" i="1" s="1"/>
  <c r="D18" i="1"/>
  <c r="E18" i="1" s="1"/>
  <c r="H18" i="1" s="1"/>
  <c r="D26" i="1"/>
  <c r="E26" i="1" s="1"/>
  <c r="H26" i="1" s="1"/>
  <c r="G3" i="1"/>
  <c r="G19" i="1"/>
  <c r="B2" i="1"/>
  <c r="R5" i="7" l="1"/>
  <c r="J5" i="7"/>
  <c r="O26" i="6"/>
  <c r="K3" i="6"/>
  <c r="J3" i="6"/>
  <c r="K4" i="6" s="1"/>
  <c r="G17" i="1"/>
  <c r="E30" i="1"/>
  <c r="H30" i="1" s="1"/>
  <c r="G30" i="1"/>
  <c r="G9" i="1"/>
  <c r="G25" i="1"/>
  <c r="G22" i="1"/>
  <c r="G6" i="1"/>
  <c r="G10" i="1"/>
  <c r="G26" i="1"/>
  <c r="G14" i="1"/>
  <c r="C2" i="1"/>
  <c r="G18" i="1"/>
  <c r="K5" i="7" l="1"/>
  <c r="P5" i="7" s="1"/>
  <c r="S5" i="7"/>
  <c r="R6" i="7"/>
  <c r="J6" i="7"/>
  <c r="J4" i="6"/>
  <c r="D2" i="1"/>
  <c r="E2" i="1" s="1"/>
  <c r="H2" i="1" s="1"/>
  <c r="F2" i="1"/>
  <c r="K6" i="7" l="1"/>
  <c r="P6" i="7" s="1"/>
  <c r="S6" i="7"/>
  <c r="R7" i="7"/>
  <c r="J7" i="7"/>
  <c r="K5" i="6"/>
  <c r="J5" i="6"/>
  <c r="G2" i="1"/>
  <c r="G402" i="1" s="1"/>
  <c r="K7" i="7" l="1"/>
  <c r="P7" i="7" s="1"/>
  <c r="S7" i="7"/>
  <c r="R8" i="7"/>
  <c r="J8" i="7"/>
  <c r="J6" i="6"/>
  <c r="K6" i="6" s="1"/>
  <c r="O27" i="1"/>
  <c r="S24" i="1" s="1"/>
  <c r="O25" i="1"/>
  <c r="O24" i="1"/>
  <c r="K8" i="7" l="1"/>
  <c r="P8" i="7" s="1"/>
  <c r="S8" i="7"/>
  <c r="R9" i="7"/>
  <c r="J9" i="7"/>
  <c r="J7" i="6"/>
  <c r="K7" i="6" s="1"/>
  <c r="I57" i="1"/>
  <c r="I58" i="1"/>
  <c r="I68" i="1"/>
  <c r="I84" i="1"/>
  <c r="I100" i="1"/>
  <c r="I106" i="1"/>
  <c r="I116" i="1"/>
  <c r="I122" i="1"/>
  <c r="I132" i="1"/>
  <c r="I148" i="1"/>
  <c r="I164" i="1"/>
  <c r="I170" i="1"/>
  <c r="I180" i="1"/>
  <c r="I186" i="1"/>
  <c r="I196" i="1"/>
  <c r="I212" i="1"/>
  <c r="I218" i="1"/>
  <c r="I228" i="1"/>
  <c r="I244" i="1"/>
  <c r="I86" i="1"/>
  <c r="I102" i="1"/>
  <c r="I150" i="1"/>
  <c r="I166" i="1"/>
  <c r="I262" i="1"/>
  <c r="I267" i="1"/>
  <c r="I278" i="1"/>
  <c r="I283" i="1"/>
  <c r="I294" i="1"/>
  <c r="I299" i="1"/>
  <c r="I315" i="1"/>
  <c r="I83" i="1"/>
  <c r="I126" i="1"/>
  <c r="I147" i="1"/>
  <c r="I190" i="1"/>
  <c r="I200" i="1"/>
  <c r="I211" i="1"/>
  <c r="I232" i="1"/>
  <c r="I243" i="1"/>
  <c r="I271" i="1"/>
  <c r="I279" i="1"/>
  <c r="I326" i="1"/>
  <c r="I331" i="1"/>
  <c r="I342" i="1"/>
  <c r="I347" i="1"/>
  <c r="I358" i="1"/>
  <c r="I363" i="1"/>
  <c r="I390" i="1"/>
  <c r="I395" i="1"/>
  <c r="I67" i="1"/>
  <c r="I78" i="1"/>
  <c r="I99" i="1"/>
  <c r="I131" i="1"/>
  <c r="I142" i="1"/>
  <c r="I163" i="1"/>
  <c r="I66" i="1"/>
  <c r="I130" i="1"/>
  <c r="I206" i="1"/>
  <c r="I274" i="1"/>
  <c r="I291" i="1"/>
  <c r="I311" i="1"/>
  <c r="I327" i="1"/>
  <c r="I334" i="1"/>
  <c r="I355" i="1"/>
  <c r="I362" i="1"/>
  <c r="I370" i="1"/>
  <c r="I383" i="1"/>
  <c r="I162" i="1"/>
  <c r="I306" i="1"/>
  <c r="I330" i="1"/>
  <c r="I351" i="1"/>
  <c r="I270" i="1"/>
  <c r="I354" i="1"/>
  <c r="I375" i="1"/>
  <c r="I114" i="1"/>
  <c r="I178" i="1"/>
  <c r="I195" i="1"/>
  <c r="I238" i="1"/>
  <c r="I275" i="1"/>
  <c r="I295" i="1"/>
  <c r="I335" i="1"/>
  <c r="I343" i="1"/>
  <c r="I350" i="1"/>
  <c r="I371" i="1"/>
  <c r="I378" i="1"/>
  <c r="I98" i="1"/>
  <c r="I287" i="1"/>
  <c r="I338" i="1"/>
  <c r="I359" i="1"/>
  <c r="I298" i="1"/>
  <c r="I346" i="1"/>
  <c r="I227" i="1"/>
  <c r="I366" i="1"/>
  <c r="I82" i="1"/>
  <c r="I146" i="1"/>
  <c r="I259" i="1"/>
  <c r="I290" i="1"/>
  <c r="I318" i="1"/>
  <c r="I339" i="1"/>
  <c r="I382" i="1"/>
  <c r="I387" i="1"/>
  <c r="I302" i="1"/>
  <c r="I202" i="1"/>
  <c r="I182" i="1"/>
  <c r="I399" i="1"/>
  <c r="I187" i="1"/>
  <c r="I79" i="1"/>
  <c r="I154" i="1"/>
  <c r="I95" i="1"/>
  <c r="I139" i="1"/>
  <c r="I63" i="1"/>
  <c r="I175" i="1"/>
  <c r="I282" i="1"/>
  <c r="I207" i="1"/>
  <c r="I179" i="1"/>
  <c r="I115" i="1"/>
  <c r="I319" i="1"/>
  <c r="I307" i="1"/>
  <c r="I118" i="1"/>
  <c r="I254" i="1"/>
  <c r="I174" i="1"/>
  <c r="I286" i="1"/>
  <c r="I62" i="1"/>
  <c r="I159" i="1"/>
  <c r="I70" i="1"/>
  <c r="I143" i="1"/>
  <c r="I75" i="1"/>
  <c r="I111" i="1"/>
  <c r="I94" i="1"/>
  <c r="I234" i="1"/>
  <c r="I314" i="1"/>
  <c r="I110" i="1"/>
  <c r="I90" i="1"/>
  <c r="I239" i="1"/>
  <c r="I123" i="1"/>
  <c r="I223" i="1"/>
  <c r="I398" i="1"/>
  <c r="I222" i="1"/>
  <c r="I158" i="1"/>
  <c r="I255" i="1"/>
  <c r="I134" i="1"/>
  <c r="I74" i="1"/>
  <c r="I138" i="1"/>
  <c r="I250" i="1"/>
  <c r="I379" i="1"/>
  <c r="I140" i="1"/>
  <c r="I312" i="1"/>
  <c r="I391" i="1"/>
  <c r="I192" i="1"/>
  <c r="I246" i="1"/>
  <c r="I384" i="1"/>
  <c r="I168" i="1"/>
  <c r="I316" i="1"/>
  <c r="I80" i="1"/>
  <c r="I160" i="1"/>
  <c r="I152" i="1"/>
  <c r="I215" i="1"/>
  <c r="I272" i="1"/>
  <c r="I203" i="1"/>
  <c r="I104" i="1"/>
  <c r="I151" i="1"/>
  <c r="I304" i="1"/>
  <c r="I256" i="1"/>
  <c r="I266" i="1"/>
  <c r="I248" i="1"/>
  <c r="I247" i="1"/>
  <c r="I184" i="1"/>
  <c r="I394" i="1"/>
  <c r="I219" i="1"/>
  <c r="I72" i="1"/>
  <c r="I356" i="1"/>
  <c r="I396" i="1"/>
  <c r="I112" i="1"/>
  <c r="I155" i="1"/>
  <c r="I60" i="1"/>
  <c r="I220" i="1"/>
  <c r="I171" i="1"/>
  <c r="I303" i="1"/>
  <c r="I59" i="1"/>
  <c r="I367" i="1"/>
  <c r="I380" i="1"/>
  <c r="I191" i="1"/>
  <c r="I127" i="1"/>
  <c r="I120" i="1"/>
  <c r="I400" i="1"/>
  <c r="I156" i="1"/>
  <c r="I172" i="1"/>
  <c r="I188" i="1"/>
  <c r="I88" i="1"/>
  <c r="I208" i="1"/>
  <c r="I76" i="1"/>
  <c r="I288" i="1"/>
  <c r="I216" i="1"/>
  <c r="I324" i="1"/>
  <c r="I96" i="1"/>
  <c r="I176" i="1"/>
  <c r="I240" i="1"/>
  <c r="I91" i="1"/>
  <c r="I119" i="1"/>
  <c r="I107" i="1"/>
  <c r="I258" i="1"/>
  <c r="I64" i="1"/>
  <c r="I103" i="1"/>
  <c r="I360" i="1"/>
  <c r="I128" i="1"/>
  <c r="I226" i="1"/>
  <c r="I144" i="1"/>
  <c r="I135" i="1"/>
  <c r="I323" i="1"/>
  <c r="I136" i="1"/>
  <c r="I199" i="1"/>
  <c r="I224" i="1"/>
  <c r="I157" i="1"/>
  <c r="I197" i="1"/>
  <c r="I145" i="1"/>
  <c r="I201" i="1"/>
  <c r="I333" i="1"/>
  <c r="I389" i="1"/>
  <c r="I183" i="1"/>
  <c r="I177" i="1"/>
  <c r="I205" i="1"/>
  <c r="I194" i="1"/>
  <c r="I225" i="1"/>
  <c r="I108" i="1"/>
  <c r="I217" i="1"/>
  <c r="I401" i="1"/>
  <c r="I221" i="1"/>
  <c r="I372" i="1"/>
  <c r="I328" i="1"/>
  <c r="I167" i="1"/>
  <c r="I101" i="1"/>
  <c r="I149" i="1"/>
  <c r="I92" i="1"/>
  <c r="I236" i="1"/>
  <c r="I204" i="1"/>
  <c r="I329" i="1"/>
  <c r="I71" i="1"/>
  <c r="I251" i="1"/>
  <c r="I386" i="1"/>
  <c r="I124" i="1"/>
  <c r="I233" i="1"/>
  <c r="I293" i="1"/>
  <c r="I230" i="1"/>
  <c r="I300" i="1"/>
  <c r="I393" i="1"/>
  <c r="I241" i="1"/>
  <c r="I268" i="1"/>
  <c r="I252" i="1"/>
  <c r="I253" i="1"/>
  <c r="I332" i="1"/>
  <c r="I373" i="1"/>
  <c r="I181" i="1"/>
  <c r="I365" i="1"/>
  <c r="I165" i="1"/>
  <c r="I357" i="1"/>
  <c r="I173" i="1"/>
  <c r="I374" i="1"/>
  <c r="I345" i="1"/>
  <c r="I85" i="1"/>
  <c r="I341" i="1"/>
  <c r="I61" i="1"/>
  <c r="I198" i="1"/>
  <c r="I361" i="1"/>
  <c r="I121" i="1"/>
  <c r="I263" i="1"/>
  <c r="I87" i="1"/>
  <c r="I242" i="1"/>
  <c r="I141" i="1"/>
  <c r="I320" i="1"/>
  <c r="I336" i="1"/>
  <c r="I245" i="1"/>
  <c r="I109" i="1"/>
  <c r="I237" i="1"/>
  <c r="I214" i="1"/>
  <c r="I344" i="1"/>
  <c r="I153" i="1"/>
  <c r="I325" i="1"/>
  <c r="I125" i="1"/>
  <c r="I317" i="1"/>
  <c r="I117" i="1"/>
  <c r="I309" i="1"/>
  <c r="I133" i="1"/>
  <c r="I352" i="1"/>
  <c r="I209" i="1"/>
  <c r="I397" i="1"/>
  <c r="I189" i="1"/>
  <c r="I310" i="1"/>
  <c r="I340" i="1"/>
  <c r="I89" i="1"/>
  <c r="I353" i="1"/>
  <c r="I305" i="1"/>
  <c r="I231" i="1"/>
  <c r="I301" i="1"/>
  <c r="I381" i="1"/>
  <c r="I235" i="1"/>
  <c r="I349" i="1"/>
  <c r="I97" i="1"/>
  <c r="I392" i="1"/>
  <c r="I297" i="1"/>
  <c r="I113" i="1"/>
  <c r="I213" i="1"/>
  <c r="I273" i="1"/>
  <c r="I69" i="1"/>
  <c r="I269" i="1"/>
  <c r="I77" i="1"/>
  <c r="I265" i="1"/>
  <c r="I81" i="1"/>
  <c r="I73" i="1"/>
  <c r="I249" i="1"/>
  <c r="I289" i="1"/>
  <c r="I277" i="1"/>
  <c r="I322" i="1"/>
  <c r="I161" i="1"/>
  <c r="I261" i="1"/>
  <c r="I65" i="1"/>
  <c r="I210" i="1"/>
  <c r="I284" i="1"/>
  <c r="I377" i="1"/>
  <c r="I292" i="1"/>
  <c r="I368" i="1"/>
  <c r="I93" i="1"/>
  <c r="I129" i="1"/>
  <c r="I229" i="1"/>
  <c r="I281" i="1"/>
  <c r="I369" i="1"/>
  <c r="I137" i="1"/>
  <c r="I285" i="1"/>
  <c r="I260" i="1"/>
  <c r="I257" i="1"/>
  <c r="I348" i="1"/>
  <c r="I321" i="1"/>
  <c r="I105" i="1"/>
  <c r="I276" i="1"/>
  <c r="I193" i="1"/>
  <c r="I337" i="1"/>
  <c r="I376" i="1"/>
  <c r="I169" i="1"/>
  <c r="I313" i="1"/>
  <c r="I385" i="1"/>
  <c r="I185" i="1"/>
  <c r="I388" i="1"/>
  <c r="I280" i="1"/>
  <c r="I364" i="1"/>
  <c r="I296" i="1"/>
  <c r="I308" i="1"/>
  <c r="I264" i="1"/>
  <c r="I47" i="1"/>
  <c r="I51" i="1"/>
  <c r="I55" i="1"/>
  <c r="I46" i="1"/>
  <c r="I52" i="1"/>
  <c r="I53" i="1"/>
  <c r="I49" i="1"/>
  <c r="I54" i="1"/>
  <c r="I45" i="1"/>
  <c r="I50" i="1"/>
  <c r="I56" i="1"/>
  <c r="I48" i="1"/>
  <c r="I39" i="1"/>
  <c r="I40" i="1"/>
  <c r="I41" i="1"/>
  <c r="I42" i="1"/>
  <c r="I43" i="1"/>
  <c r="I44" i="1"/>
  <c r="I38" i="1"/>
  <c r="I33" i="1"/>
  <c r="I37" i="1"/>
  <c r="I32" i="1"/>
  <c r="I35" i="1"/>
  <c r="I34" i="1"/>
  <c r="I36" i="1"/>
  <c r="I8" i="1"/>
  <c r="I17" i="1"/>
  <c r="I23" i="1"/>
  <c r="I14" i="1"/>
  <c r="I15" i="1"/>
  <c r="I3" i="1"/>
  <c r="K3" i="1" s="1"/>
  <c r="I13" i="1"/>
  <c r="I25" i="1"/>
  <c r="I4" i="1"/>
  <c r="I12" i="1"/>
  <c r="I22" i="1"/>
  <c r="I11" i="1"/>
  <c r="I7" i="1"/>
  <c r="I6" i="1"/>
  <c r="I28" i="1"/>
  <c r="I24" i="1"/>
  <c r="I21" i="1"/>
  <c r="I30" i="1"/>
  <c r="I18" i="1"/>
  <c r="I31" i="1"/>
  <c r="I10" i="1"/>
  <c r="I2" i="1"/>
  <c r="K2" i="1" s="1"/>
  <c r="I16" i="1"/>
  <c r="I29" i="1"/>
  <c r="I20" i="1"/>
  <c r="I5" i="1"/>
  <c r="I26" i="1"/>
  <c r="I9" i="1"/>
  <c r="I27" i="1"/>
  <c r="I19" i="1"/>
  <c r="O26" i="1"/>
  <c r="K9" i="7" l="1"/>
  <c r="P9" i="7" s="1"/>
  <c r="S9" i="7"/>
  <c r="R10" i="7"/>
  <c r="J10" i="7"/>
  <c r="J8" i="6"/>
  <c r="K8" i="6" s="1"/>
  <c r="J3" i="1"/>
  <c r="J4" i="1" s="1"/>
  <c r="K10" i="7" l="1"/>
  <c r="P10" i="7" s="1"/>
  <c r="S10" i="7"/>
  <c r="R11" i="7"/>
  <c r="J11" i="7"/>
  <c r="J9" i="6"/>
  <c r="K9" i="6" s="1"/>
  <c r="K4" i="1"/>
  <c r="J5" i="1"/>
  <c r="K5" i="1"/>
  <c r="K11" i="7" l="1"/>
  <c r="P11" i="7" s="1"/>
  <c r="S11" i="7"/>
  <c r="R12" i="7"/>
  <c r="J12" i="7"/>
  <c r="K10" i="6"/>
  <c r="J10" i="6"/>
  <c r="J6" i="1"/>
  <c r="K6" i="1"/>
  <c r="K12" i="7" l="1"/>
  <c r="P12" i="7" s="1"/>
  <c r="S12" i="7"/>
  <c r="R13" i="7"/>
  <c r="J13" i="7"/>
  <c r="J11" i="6"/>
  <c r="K11" i="6" s="1"/>
  <c r="J7" i="1"/>
  <c r="K7" i="1"/>
  <c r="K13" i="7" l="1"/>
  <c r="P13" i="7" s="1"/>
  <c r="S13" i="7"/>
  <c r="R14" i="7"/>
  <c r="J14" i="7"/>
  <c r="J12" i="6"/>
  <c r="K12" i="6" s="1"/>
  <c r="J8" i="1"/>
  <c r="K8" i="1"/>
  <c r="K14" i="7" l="1"/>
  <c r="P14" i="7" s="1"/>
  <c r="S14" i="7"/>
  <c r="R15" i="7"/>
  <c r="J15" i="7"/>
  <c r="K13" i="6"/>
  <c r="J13" i="6"/>
  <c r="J9" i="1"/>
  <c r="K9" i="1" s="1"/>
  <c r="K15" i="7" l="1"/>
  <c r="P15" i="7" s="1"/>
  <c r="S15" i="7"/>
  <c r="R16" i="7"/>
  <c r="J16" i="7"/>
  <c r="J14" i="6"/>
  <c r="K14" i="6" s="1"/>
  <c r="J10" i="1"/>
  <c r="K10" i="1" s="1"/>
  <c r="K16" i="7" l="1"/>
  <c r="P16" i="7" s="1"/>
  <c r="S16" i="7"/>
  <c r="R17" i="7"/>
  <c r="J17" i="7"/>
  <c r="J15" i="6"/>
  <c r="K15" i="6" s="1"/>
  <c r="J11" i="1"/>
  <c r="K11" i="1" s="1"/>
  <c r="K17" i="7" l="1"/>
  <c r="P17" i="7" s="1"/>
  <c r="S17" i="7"/>
  <c r="R18" i="7"/>
  <c r="J18" i="7"/>
  <c r="J16" i="6"/>
  <c r="K16" i="6" s="1"/>
  <c r="J12" i="1"/>
  <c r="K12" i="1" s="1"/>
  <c r="K18" i="7" l="1"/>
  <c r="P18" i="7" s="1"/>
  <c r="S18" i="7"/>
  <c r="R19" i="7"/>
  <c r="J19" i="7"/>
  <c r="J17" i="6"/>
  <c r="K17" i="6" s="1"/>
  <c r="J13" i="1"/>
  <c r="K13" i="1"/>
  <c r="K19" i="7" l="1"/>
  <c r="P19" i="7" s="1"/>
  <c r="S19" i="7"/>
  <c r="R20" i="7"/>
  <c r="J20" i="7"/>
  <c r="J18" i="6"/>
  <c r="K18" i="6" s="1"/>
  <c r="J14" i="1"/>
  <c r="K14" i="1" s="1"/>
  <c r="K20" i="7" l="1"/>
  <c r="P20" i="7" s="1"/>
  <c r="S20" i="7"/>
  <c r="R21" i="7"/>
  <c r="J21" i="7"/>
  <c r="J19" i="6"/>
  <c r="K19" i="6" s="1"/>
  <c r="J15" i="1"/>
  <c r="K15" i="1" s="1"/>
  <c r="K21" i="7" l="1"/>
  <c r="P21" i="7" s="1"/>
  <c r="S21" i="7"/>
  <c r="R22" i="7"/>
  <c r="J22" i="7"/>
  <c r="J20" i="6"/>
  <c r="K20" i="6" s="1"/>
  <c r="J16" i="1"/>
  <c r="K16" i="1" s="1"/>
  <c r="K22" i="7" l="1"/>
  <c r="P22" i="7" s="1"/>
  <c r="S22" i="7"/>
  <c r="R23" i="7"/>
  <c r="J23" i="7"/>
  <c r="J21" i="6"/>
  <c r="K21" i="6" s="1"/>
  <c r="J17" i="1"/>
  <c r="K17" i="1" s="1"/>
  <c r="K23" i="7" l="1"/>
  <c r="P23" i="7" s="1"/>
  <c r="S23" i="7"/>
  <c r="R24" i="7"/>
  <c r="J24" i="7"/>
  <c r="J22" i="6"/>
  <c r="K22" i="6" s="1"/>
  <c r="J18" i="1"/>
  <c r="K18" i="1" s="1"/>
  <c r="K24" i="7" l="1"/>
  <c r="P24" i="7" s="1"/>
  <c r="S24" i="7"/>
  <c r="R25" i="7"/>
  <c r="J25" i="7"/>
  <c r="J23" i="6"/>
  <c r="K23" i="6" s="1"/>
  <c r="J19" i="1"/>
  <c r="K19" i="1" s="1"/>
  <c r="K25" i="7" l="1"/>
  <c r="P25" i="7" s="1"/>
  <c r="S25" i="7"/>
  <c r="R26" i="7"/>
  <c r="J26" i="7"/>
  <c r="J24" i="6"/>
  <c r="K24" i="6" s="1"/>
  <c r="J20" i="1"/>
  <c r="K20" i="1"/>
  <c r="K26" i="7" l="1"/>
  <c r="P26" i="7" s="1"/>
  <c r="S26" i="7"/>
  <c r="R27" i="7"/>
  <c r="J27" i="7"/>
  <c r="J25" i="6"/>
  <c r="K25" i="6" s="1"/>
  <c r="J21" i="1"/>
  <c r="K21" i="1"/>
  <c r="K27" i="7" l="1"/>
  <c r="P27" i="7" s="1"/>
  <c r="S27" i="7"/>
  <c r="R28" i="7"/>
  <c r="J28" i="7"/>
  <c r="J26" i="6"/>
  <c r="K26" i="6" s="1"/>
  <c r="J22" i="1"/>
  <c r="K22" i="1" s="1"/>
  <c r="K28" i="7" l="1"/>
  <c r="P28" i="7" s="1"/>
  <c r="S28" i="7"/>
  <c r="R29" i="7"/>
  <c r="J29" i="7"/>
  <c r="J27" i="6"/>
  <c r="K27" i="6" s="1"/>
  <c r="J23" i="1"/>
  <c r="K23" i="1" s="1"/>
  <c r="K29" i="7" l="1"/>
  <c r="P29" i="7" s="1"/>
  <c r="S29" i="7"/>
  <c r="R30" i="7"/>
  <c r="J30" i="7"/>
  <c r="J28" i="6"/>
  <c r="K28" i="6" s="1"/>
  <c r="J24" i="1"/>
  <c r="K24" i="1" s="1"/>
  <c r="K30" i="7" l="1"/>
  <c r="P30" i="7" s="1"/>
  <c r="S30" i="7"/>
  <c r="R31" i="7"/>
  <c r="J31" i="7"/>
  <c r="J29" i="6"/>
  <c r="K29" i="6" s="1"/>
  <c r="J25" i="1"/>
  <c r="K25" i="1" s="1"/>
  <c r="K31" i="7" l="1"/>
  <c r="P31" i="7" s="1"/>
  <c r="S31" i="7"/>
  <c r="R32" i="7"/>
  <c r="J32" i="7"/>
  <c r="J30" i="6"/>
  <c r="K30" i="6" s="1"/>
  <c r="J26" i="1"/>
  <c r="K26" i="1" s="1"/>
  <c r="K32" i="7" l="1"/>
  <c r="P32" i="7" s="1"/>
  <c r="S32" i="7"/>
  <c r="R33" i="7"/>
  <c r="J33" i="7"/>
  <c r="J31" i="6"/>
  <c r="K31" i="6" s="1"/>
  <c r="J27" i="1"/>
  <c r="K27" i="1" s="1"/>
  <c r="K33" i="7" l="1"/>
  <c r="P33" i="7" s="1"/>
  <c r="S33" i="7"/>
  <c r="R34" i="7"/>
  <c r="J34" i="7"/>
  <c r="J32" i="6"/>
  <c r="K32" i="6" s="1"/>
  <c r="J28" i="1"/>
  <c r="K28" i="1" s="1"/>
  <c r="K34" i="7" l="1"/>
  <c r="P34" i="7" s="1"/>
  <c r="S34" i="7"/>
  <c r="R35" i="7"/>
  <c r="J35" i="7"/>
  <c r="J33" i="6"/>
  <c r="K33" i="6" s="1"/>
  <c r="J29" i="1"/>
  <c r="K29" i="1" s="1"/>
  <c r="K35" i="7" l="1"/>
  <c r="P35" i="7" s="1"/>
  <c r="S35" i="7"/>
  <c r="R36" i="7"/>
  <c r="J36" i="7"/>
  <c r="J34" i="6"/>
  <c r="K34" i="6" s="1"/>
  <c r="J30" i="1"/>
  <c r="K30" i="1" s="1"/>
  <c r="K36" i="7" l="1"/>
  <c r="P36" i="7" s="1"/>
  <c r="S36" i="7"/>
  <c r="R37" i="7"/>
  <c r="J37" i="7"/>
  <c r="J35" i="6"/>
  <c r="K35" i="6" s="1"/>
  <c r="J31" i="1"/>
  <c r="K31" i="1" s="1"/>
  <c r="K37" i="7" l="1"/>
  <c r="P37" i="7" s="1"/>
  <c r="S37" i="7"/>
  <c r="R38" i="7"/>
  <c r="J38" i="7"/>
  <c r="J36" i="6"/>
  <c r="K36" i="6" s="1"/>
  <c r="J32" i="1"/>
  <c r="K32" i="1" s="1"/>
  <c r="K38" i="7" l="1"/>
  <c r="P38" i="7" s="1"/>
  <c r="S38" i="7"/>
  <c r="R39" i="7"/>
  <c r="J39" i="7"/>
  <c r="J37" i="6"/>
  <c r="K37" i="6" s="1"/>
  <c r="J33" i="1"/>
  <c r="K33" i="1" s="1"/>
  <c r="K39" i="7" l="1"/>
  <c r="P39" i="7" s="1"/>
  <c r="S39" i="7"/>
  <c r="R40" i="7"/>
  <c r="J40" i="7"/>
  <c r="J38" i="6"/>
  <c r="K38" i="6" s="1"/>
  <c r="J34" i="1"/>
  <c r="K34" i="1" s="1"/>
  <c r="K40" i="7" l="1"/>
  <c r="P40" i="7" s="1"/>
  <c r="S40" i="7"/>
  <c r="R41" i="7"/>
  <c r="J41" i="7"/>
  <c r="J39" i="6"/>
  <c r="K39" i="6" s="1"/>
  <c r="J35" i="1"/>
  <c r="K35" i="1" s="1"/>
  <c r="K41" i="7" l="1"/>
  <c r="P41" i="7" s="1"/>
  <c r="S41" i="7"/>
  <c r="R42" i="7"/>
  <c r="J42" i="7"/>
  <c r="J40" i="6"/>
  <c r="K40" i="6" s="1"/>
  <c r="J36" i="1"/>
  <c r="K36" i="1" s="1"/>
  <c r="K42" i="7" l="1"/>
  <c r="P42" i="7" s="1"/>
  <c r="S42" i="7"/>
  <c r="R43" i="7"/>
  <c r="J43" i="7"/>
  <c r="J41" i="6"/>
  <c r="K41" i="6" s="1"/>
  <c r="J37" i="1"/>
  <c r="K37" i="1" s="1"/>
  <c r="K43" i="7" l="1"/>
  <c r="P43" i="7" s="1"/>
  <c r="S43" i="7"/>
  <c r="R44" i="7"/>
  <c r="J44" i="7"/>
  <c r="J42" i="6"/>
  <c r="K42" i="6" s="1"/>
  <c r="J38" i="1"/>
  <c r="K38" i="1" s="1"/>
  <c r="K44" i="7" l="1"/>
  <c r="P44" i="7" s="1"/>
  <c r="S44" i="7"/>
  <c r="R45" i="7"/>
  <c r="J45" i="7"/>
  <c r="J43" i="6"/>
  <c r="K43" i="6" s="1"/>
  <c r="J39" i="1"/>
  <c r="K39" i="1" s="1"/>
  <c r="K45" i="7" l="1"/>
  <c r="P45" i="7" s="1"/>
  <c r="S45" i="7"/>
  <c r="R46" i="7"/>
  <c r="J46" i="7"/>
  <c r="J44" i="6"/>
  <c r="K44" i="6" s="1"/>
  <c r="J40" i="1"/>
  <c r="K40" i="1" s="1"/>
  <c r="K46" i="7" l="1"/>
  <c r="P46" i="7" s="1"/>
  <c r="S46" i="7"/>
  <c r="R47" i="7"/>
  <c r="J47" i="7"/>
  <c r="J45" i="6"/>
  <c r="K45" i="6" s="1"/>
  <c r="J41" i="1"/>
  <c r="K41" i="1" s="1"/>
  <c r="K47" i="7" l="1"/>
  <c r="P47" i="7" s="1"/>
  <c r="S47" i="7"/>
  <c r="R48" i="7"/>
  <c r="J48" i="7"/>
  <c r="J46" i="6"/>
  <c r="K46" i="6" s="1"/>
  <c r="J42" i="1"/>
  <c r="K42" i="1" s="1"/>
  <c r="K48" i="7" l="1"/>
  <c r="P48" i="7" s="1"/>
  <c r="S48" i="7"/>
  <c r="R49" i="7"/>
  <c r="J49" i="7"/>
  <c r="J47" i="6"/>
  <c r="K47" i="6" s="1"/>
  <c r="J43" i="1"/>
  <c r="K43" i="1" s="1"/>
  <c r="K49" i="7" l="1"/>
  <c r="P49" i="7" s="1"/>
  <c r="S49" i="7"/>
  <c r="R50" i="7"/>
  <c r="J50" i="7"/>
  <c r="J48" i="6"/>
  <c r="K48" i="6" s="1"/>
  <c r="J44" i="1"/>
  <c r="J45" i="1" s="1"/>
  <c r="K50" i="7" l="1"/>
  <c r="P50" i="7" s="1"/>
  <c r="S50" i="7"/>
  <c r="R51" i="7"/>
  <c r="J51" i="7"/>
  <c r="J49" i="6"/>
  <c r="K49" i="6" s="1"/>
  <c r="K44" i="1"/>
  <c r="J46" i="1"/>
  <c r="K46" i="1"/>
  <c r="K45" i="1"/>
  <c r="K51" i="7" l="1"/>
  <c r="P51" i="7" s="1"/>
  <c r="S51" i="7"/>
  <c r="R52" i="7"/>
  <c r="J52" i="7"/>
  <c r="J50" i="6"/>
  <c r="K50" i="6" s="1"/>
  <c r="J47" i="1"/>
  <c r="K47" i="1" s="1"/>
  <c r="K52" i="7" l="1"/>
  <c r="P52" i="7" s="1"/>
  <c r="S52" i="7"/>
  <c r="R53" i="7"/>
  <c r="J53" i="7"/>
  <c r="J51" i="6"/>
  <c r="K51" i="6" s="1"/>
  <c r="J48" i="1"/>
  <c r="K48" i="1" s="1"/>
  <c r="K53" i="7" l="1"/>
  <c r="P53" i="7" s="1"/>
  <c r="S53" i="7"/>
  <c r="R54" i="7"/>
  <c r="J54" i="7"/>
  <c r="J52" i="6"/>
  <c r="K52" i="6" s="1"/>
  <c r="J49" i="1"/>
  <c r="K49" i="1" s="1"/>
  <c r="K54" i="7" l="1"/>
  <c r="P54" i="7" s="1"/>
  <c r="S54" i="7"/>
  <c r="R55" i="7"/>
  <c r="J55" i="7"/>
  <c r="J53" i="6"/>
  <c r="K53" i="6" s="1"/>
  <c r="J50" i="1"/>
  <c r="K50" i="1"/>
  <c r="K55" i="7" l="1"/>
  <c r="P55" i="7" s="1"/>
  <c r="S55" i="7"/>
  <c r="R56" i="7"/>
  <c r="J56" i="7"/>
  <c r="J54" i="6"/>
  <c r="K54" i="6" s="1"/>
  <c r="J51" i="1"/>
  <c r="K51" i="1" s="1"/>
  <c r="K56" i="7" l="1"/>
  <c r="P56" i="7" s="1"/>
  <c r="S56" i="7"/>
  <c r="R57" i="7"/>
  <c r="J57" i="7"/>
  <c r="J55" i="6"/>
  <c r="K55" i="6" s="1"/>
  <c r="K52" i="1"/>
  <c r="J52" i="1"/>
  <c r="K57" i="7" l="1"/>
  <c r="P57" i="7" s="1"/>
  <c r="S57" i="7"/>
  <c r="R58" i="7"/>
  <c r="J58" i="7"/>
  <c r="J56" i="6"/>
  <c r="K56" i="6" s="1"/>
  <c r="J53" i="1"/>
  <c r="K53" i="1" s="1"/>
  <c r="K58" i="7" l="1"/>
  <c r="P58" i="7" s="1"/>
  <c r="S58" i="7"/>
  <c r="R59" i="7"/>
  <c r="J59" i="7"/>
  <c r="J57" i="6"/>
  <c r="K57" i="6" s="1"/>
  <c r="J54" i="1"/>
  <c r="K54" i="1" s="1"/>
  <c r="K59" i="7" l="1"/>
  <c r="P59" i="7" s="1"/>
  <c r="S59" i="7"/>
  <c r="R60" i="7"/>
  <c r="J60" i="7"/>
  <c r="J58" i="6"/>
  <c r="K58" i="6" s="1"/>
  <c r="J55" i="1"/>
  <c r="K55" i="1" s="1"/>
  <c r="K60" i="7" l="1"/>
  <c r="P60" i="7" s="1"/>
  <c r="S60" i="7"/>
  <c r="R61" i="7"/>
  <c r="J61" i="7"/>
  <c r="J59" i="6"/>
  <c r="K59" i="6" s="1"/>
  <c r="J56" i="1"/>
  <c r="K61" i="7" l="1"/>
  <c r="P61" i="7" s="1"/>
  <c r="S61" i="7"/>
  <c r="R62" i="7"/>
  <c r="J62" i="7"/>
  <c r="J60" i="6"/>
  <c r="K60" i="6" s="1"/>
  <c r="K56" i="1"/>
  <c r="K57" i="1"/>
  <c r="J57" i="1"/>
  <c r="K62" i="7" l="1"/>
  <c r="P62" i="7" s="1"/>
  <c r="S62" i="7"/>
  <c r="R63" i="7"/>
  <c r="J63" i="7"/>
  <c r="J61" i="6"/>
  <c r="K61" i="6" s="1"/>
  <c r="J58" i="1"/>
  <c r="K58" i="1" s="1"/>
  <c r="K63" i="7" l="1"/>
  <c r="P63" i="7" s="1"/>
  <c r="S63" i="7"/>
  <c r="R64" i="7"/>
  <c r="J64" i="7"/>
  <c r="J62" i="6"/>
  <c r="K62" i="6" s="1"/>
  <c r="K59" i="1"/>
  <c r="J59" i="1"/>
  <c r="K64" i="7" l="1"/>
  <c r="P64" i="7" s="1"/>
  <c r="S64" i="7"/>
  <c r="R65" i="7"/>
  <c r="J65" i="7"/>
  <c r="J63" i="6"/>
  <c r="K63" i="6" s="1"/>
  <c r="J60" i="1"/>
  <c r="K60" i="1" s="1"/>
  <c r="K65" i="7" l="1"/>
  <c r="P65" i="7" s="1"/>
  <c r="S65" i="7"/>
  <c r="R66" i="7"/>
  <c r="J66" i="7"/>
  <c r="J64" i="6"/>
  <c r="K64" i="6" s="1"/>
  <c r="J61" i="1"/>
  <c r="K61" i="1" s="1"/>
  <c r="K66" i="7" l="1"/>
  <c r="P66" i="7" s="1"/>
  <c r="S66" i="7"/>
  <c r="R67" i="7"/>
  <c r="J67" i="7"/>
  <c r="J65" i="6"/>
  <c r="K65" i="6"/>
  <c r="J62" i="1"/>
  <c r="K62" i="1" s="1"/>
  <c r="K67" i="7" l="1"/>
  <c r="P67" i="7" s="1"/>
  <c r="S67" i="7"/>
  <c r="R68" i="7"/>
  <c r="J68" i="7"/>
  <c r="J66" i="6"/>
  <c r="K66" i="6" s="1"/>
  <c r="K63" i="1"/>
  <c r="J63" i="1"/>
  <c r="K68" i="7" l="1"/>
  <c r="P68" i="7" s="1"/>
  <c r="S68" i="7"/>
  <c r="R69" i="7"/>
  <c r="J69" i="7"/>
  <c r="J67" i="6"/>
  <c r="K67" i="6" s="1"/>
  <c r="J64" i="1"/>
  <c r="K64" i="1"/>
  <c r="K69" i="7" l="1"/>
  <c r="P69" i="7" s="1"/>
  <c r="S69" i="7"/>
  <c r="R70" i="7"/>
  <c r="J70" i="7"/>
  <c r="J68" i="6"/>
  <c r="K68" i="6" s="1"/>
  <c r="J65" i="1"/>
  <c r="K65" i="1"/>
  <c r="K70" i="7" l="1"/>
  <c r="P70" i="7" s="1"/>
  <c r="S70" i="7"/>
  <c r="R71" i="7"/>
  <c r="J71" i="7"/>
  <c r="J69" i="6"/>
  <c r="K69" i="6" s="1"/>
  <c r="J66" i="1"/>
  <c r="K66" i="1" s="1"/>
  <c r="K71" i="7" l="1"/>
  <c r="P71" i="7" s="1"/>
  <c r="S71" i="7"/>
  <c r="R72" i="7"/>
  <c r="J72" i="7"/>
  <c r="J70" i="6"/>
  <c r="K70" i="6" s="1"/>
  <c r="J67" i="1"/>
  <c r="K67" i="1" s="1"/>
  <c r="K72" i="7" l="1"/>
  <c r="P72" i="7" s="1"/>
  <c r="S72" i="7"/>
  <c r="R73" i="7"/>
  <c r="J73" i="7"/>
  <c r="J71" i="6"/>
  <c r="K71" i="6" s="1"/>
  <c r="J68" i="1"/>
  <c r="K68" i="1" s="1"/>
  <c r="K73" i="7" l="1"/>
  <c r="P73" i="7" s="1"/>
  <c r="S73" i="7"/>
  <c r="R74" i="7"/>
  <c r="J74" i="7"/>
  <c r="J72" i="6"/>
  <c r="K72" i="6" s="1"/>
  <c r="J69" i="1"/>
  <c r="K69" i="1" s="1"/>
  <c r="K74" i="7" l="1"/>
  <c r="P74" i="7" s="1"/>
  <c r="S74" i="7"/>
  <c r="R75" i="7"/>
  <c r="J75" i="7"/>
  <c r="J73" i="6"/>
  <c r="K73" i="6" s="1"/>
  <c r="J70" i="1"/>
  <c r="K70" i="1" s="1"/>
  <c r="K75" i="7" l="1"/>
  <c r="P75" i="7" s="1"/>
  <c r="S75" i="7"/>
  <c r="R76" i="7"/>
  <c r="J76" i="7"/>
  <c r="J74" i="6"/>
  <c r="K74" i="6" s="1"/>
  <c r="J71" i="1"/>
  <c r="K71" i="1"/>
  <c r="K76" i="7" l="1"/>
  <c r="P76" i="7" s="1"/>
  <c r="S76" i="7"/>
  <c r="R77" i="7"/>
  <c r="J77" i="7"/>
  <c r="J75" i="6"/>
  <c r="K75" i="6" s="1"/>
  <c r="J72" i="1"/>
  <c r="K72" i="1"/>
  <c r="K77" i="7" l="1"/>
  <c r="P77" i="7" s="1"/>
  <c r="S77" i="7"/>
  <c r="R78" i="7"/>
  <c r="J78" i="7"/>
  <c r="J76" i="6"/>
  <c r="K76" i="6" s="1"/>
  <c r="J73" i="1"/>
  <c r="K73" i="1"/>
  <c r="K78" i="7" l="1"/>
  <c r="P78" i="7" s="1"/>
  <c r="S78" i="7"/>
  <c r="R79" i="7"/>
  <c r="J79" i="7"/>
  <c r="J77" i="6"/>
  <c r="K77" i="6" s="1"/>
  <c r="J74" i="1"/>
  <c r="K74" i="1" s="1"/>
  <c r="K79" i="7" l="1"/>
  <c r="P79" i="7" s="1"/>
  <c r="S79" i="7"/>
  <c r="R80" i="7"/>
  <c r="J80" i="7"/>
  <c r="J78" i="6"/>
  <c r="K78" i="6" s="1"/>
  <c r="J75" i="1"/>
  <c r="K75" i="1" s="1"/>
  <c r="K80" i="7" l="1"/>
  <c r="P80" i="7" s="1"/>
  <c r="S80" i="7"/>
  <c r="R81" i="7"/>
  <c r="J81" i="7"/>
  <c r="J79" i="6"/>
  <c r="K79" i="6" s="1"/>
  <c r="J76" i="1"/>
  <c r="K76" i="1" s="1"/>
  <c r="K81" i="7" l="1"/>
  <c r="P81" i="7" s="1"/>
  <c r="S81" i="7"/>
  <c r="R82" i="7"/>
  <c r="J82" i="7"/>
  <c r="J80" i="6"/>
  <c r="K80" i="6" s="1"/>
  <c r="J77" i="1"/>
  <c r="K77" i="1"/>
  <c r="K82" i="7" l="1"/>
  <c r="P82" i="7" s="1"/>
  <c r="S82" i="7"/>
  <c r="R83" i="7"/>
  <c r="J83" i="7"/>
  <c r="J81" i="6"/>
  <c r="K81" i="6" s="1"/>
  <c r="J78" i="1"/>
  <c r="K78" i="1" s="1"/>
  <c r="K83" i="7" l="1"/>
  <c r="P83" i="7" s="1"/>
  <c r="S83" i="7"/>
  <c r="R84" i="7"/>
  <c r="J84" i="7"/>
  <c r="J82" i="6"/>
  <c r="K82" i="6" s="1"/>
  <c r="J79" i="1"/>
  <c r="K79" i="1" s="1"/>
  <c r="K84" i="7" l="1"/>
  <c r="P84" i="7" s="1"/>
  <c r="S84" i="7"/>
  <c r="R85" i="7"/>
  <c r="J85" i="7"/>
  <c r="J83" i="6"/>
  <c r="K83" i="6" s="1"/>
  <c r="J80" i="1"/>
  <c r="K80" i="1"/>
  <c r="K85" i="7" l="1"/>
  <c r="P85" i="7" s="1"/>
  <c r="S85" i="7"/>
  <c r="R86" i="7"/>
  <c r="J86" i="7"/>
  <c r="J84" i="6"/>
  <c r="K84" i="6" s="1"/>
  <c r="J81" i="1"/>
  <c r="K81" i="1" s="1"/>
  <c r="K86" i="7" l="1"/>
  <c r="P86" i="7" s="1"/>
  <c r="S86" i="7"/>
  <c r="R87" i="7"/>
  <c r="J87" i="7"/>
  <c r="J85" i="6"/>
  <c r="K85" i="6" s="1"/>
  <c r="J82" i="1"/>
  <c r="K82" i="1" s="1"/>
  <c r="K87" i="7" l="1"/>
  <c r="P87" i="7" s="1"/>
  <c r="S87" i="7"/>
  <c r="R88" i="7"/>
  <c r="J88" i="7"/>
  <c r="J86" i="6"/>
  <c r="K86" i="6" s="1"/>
  <c r="K83" i="1"/>
  <c r="J83" i="1"/>
  <c r="K88" i="7" l="1"/>
  <c r="P88" i="7" s="1"/>
  <c r="S88" i="7"/>
  <c r="R89" i="7"/>
  <c r="J89" i="7"/>
  <c r="J87" i="6"/>
  <c r="K87" i="6" s="1"/>
  <c r="J84" i="1"/>
  <c r="K84" i="1"/>
  <c r="K89" i="7" l="1"/>
  <c r="P89" i="7" s="1"/>
  <c r="S89" i="7"/>
  <c r="R90" i="7"/>
  <c r="J90" i="7"/>
  <c r="J88" i="6"/>
  <c r="K88" i="6"/>
  <c r="J85" i="1"/>
  <c r="K85" i="1" s="1"/>
  <c r="K90" i="7" l="1"/>
  <c r="P90" i="7" s="1"/>
  <c r="S90" i="7"/>
  <c r="R91" i="7"/>
  <c r="J91" i="7"/>
  <c r="J89" i="6"/>
  <c r="K89" i="6" s="1"/>
  <c r="J86" i="1"/>
  <c r="K86" i="1" s="1"/>
  <c r="K91" i="7" l="1"/>
  <c r="P91" i="7" s="1"/>
  <c r="S91" i="7"/>
  <c r="R92" i="7"/>
  <c r="J92" i="7"/>
  <c r="J90" i="6"/>
  <c r="K90" i="6" s="1"/>
  <c r="J87" i="1"/>
  <c r="K87" i="1" s="1"/>
  <c r="K92" i="7" l="1"/>
  <c r="P92" i="7" s="1"/>
  <c r="S92" i="7"/>
  <c r="R93" i="7"/>
  <c r="J93" i="7"/>
  <c r="J91" i="6"/>
  <c r="K91" i="6" s="1"/>
  <c r="J88" i="1"/>
  <c r="K88" i="1"/>
  <c r="K93" i="7" l="1"/>
  <c r="P93" i="7" s="1"/>
  <c r="S93" i="7"/>
  <c r="R94" i="7"/>
  <c r="J94" i="7"/>
  <c r="J92" i="6"/>
  <c r="K92" i="6" s="1"/>
  <c r="J89" i="1"/>
  <c r="K89" i="1"/>
  <c r="K94" i="7" l="1"/>
  <c r="P94" i="7" s="1"/>
  <c r="S94" i="7"/>
  <c r="R95" i="7"/>
  <c r="J95" i="7"/>
  <c r="J93" i="6"/>
  <c r="K93" i="6" s="1"/>
  <c r="J90" i="1"/>
  <c r="K90" i="1" s="1"/>
  <c r="K95" i="7" l="1"/>
  <c r="P95" i="7" s="1"/>
  <c r="S95" i="7"/>
  <c r="R96" i="7"/>
  <c r="J96" i="7"/>
  <c r="J94" i="6"/>
  <c r="K94" i="6" s="1"/>
  <c r="J91" i="1"/>
  <c r="K91" i="1" s="1"/>
  <c r="K96" i="7" l="1"/>
  <c r="P96" i="7" s="1"/>
  <c r="S96" i="7"/>
  <c r="R97" i="7"/>
  <c r="J97" i="7"/>
  <c r="J95" i="6"/>
  <c r="K95" i="6" s="1"/>
  <c r="J92" i="1"/>
  <c r="K92" i="1"/>
  <c r="K97" i="7" l="1"/>
  <c r="P97" i="7" s="1"/>
  <c r="S97" i="7"/>
  <c r="R98" i="7"/>
  <c r="J98" i="7"/>
  <c r="J96" i="6"/>
  <c r="K96" i="6" s="1"/>
  <c r="J93" i="1"/>
  <c r="K93" i="1" s="1"/>
  <c r="K98" i="7" l="1"/>
  <c r="P98" i="7" s="1"/>
  <c r="S98" i="7"/>
  <c r="R99" i="7"/>
  <c r="J99" i="7"/>
  <c r="J97" i="6"/>
  <c r="K97" i="6" s="1"/>
  <c r="J94" i="1"/>
  <c r="K94" i="1" s="1"/>
  <c r="K99" i="7" l="1"/>
  <c r="P99" i="7" s="1"/>
  <c r="S99" i="7"/>
  <c r="R100" i="7"/>
  <c r="J100" i="7"/>
  <c r="J98" i="6"/>
  <c r="K98" i="6" s="1"/>
  <c r="J95" i="1"/>
  <c r="K95" i="1" s="1"/>
  <c r="K100" i="7" l="1"/>
  <c r="P100" i="7" s="1"/>
  <c r="S100" i="7"/>
  <c r="R101" i="7"/>
  <c r="J101" i="7"/>
  <c r="J99" i="6"/>
  <c r="K99" i="6" s="1"/>
  <c r="J96" i="1"/>
  <c r="K96" i="1" s="1"/>
  <c r="K101" i="7" l="1"/>
  <c r="P101" i="7" s="1"/>
  <c r="S101" i="7"/>
  <c r="R102" i="7"/>
  <c r="J102" i="7"/>
  <c r="J100" i="6"/>
  <c r="K100" i="6" s="1"/>
  <c r="J97" i="1"/>
  <c r="K97" i="1" s="1"/>
  <c r="K102" i="7" l="1"/>
  <c r="P102" i="7" s="1"/>
  <c r="S102" i="7"/>
  <c r="R103" i="7"/>
  <c r="J103" i="7"/>
  <c r="J101" i="6"/>
  <c r="K101" i="6" s="1"/>
  <c r="J98" i="1"/>
  <c r="K98" i="1" s="1"/>
  <c r="K103" i="7" l="1"/>
  <c r="P103" i="7" s="1"/>
  <c r="S103" i="7"/>
  <c r="R104" i="7"/>
  <c r="J104" i="7"/>
  <c r="J102" i="6"/>
  <c r="K102" i="6" s="1"/>
  <c r="J99" i="1"/>
  <c r="K99" i="1" s="1"/>
  <c r="K104" i="7" l="1"/>
  <c r="P104" i="7" s="1"/>
  <c r="S104" i="7"/>
  <c r="R105" i="7"/>
  <c r="J105" i="7"/>
  <c r="J103" i="6"/>
  <c r="K103" i="6" s="1"/>
  <c r="J100" i="1"/>
  <c r="K100" i="1"/>
  <c r="K105" i="7" l="1"/>
  <c r="P105" i="7" s="1"/>
  <c r="S105" i="7"/>
  <c r="R106" i="7"/>
  <c r="J106" i="7"/>
  <c r="J104" i="6"/>
  <c r="K104" i="6" s="1"/>
  <c r="J101" i="1"/>
  <c r="K101" i="1" s="1"/>
  <c r="K106" i="7" l="1"/>
  <c r="P106" i="7" s="1"/>
  <c r="S106" i="7"/>
  <c r="R107" i="7"/>
  <c r="J107" i="7"/>
  <c r="J105" i="6"/>
  <c r="K105" i="6" s="1"/>
  <c r="J102" i="1"/>
  <c r="K102" i="1" s="1"/>
  <c r="K107" i="7" l="1"/>
  <c r="P107" i="7" s="1"/>
  <c r="S107" i="7"/>
  <c r="R108" i="7"/>
  <c r="J108" i="7"/>
  <c r="J106" i="6"/>
  <c r="K106" i="6" s="1"/>
  <c r="J103" i="1"/>
  <c r="K103" i="1" s="1"/>
  <c r="K108" i="7" l="1"/>
  <c r="P108" i="7" s="1"/>
  <c r="S108" i="7"/>
  <c r="R109" i="7"/>
  <c r="J109" i="7"/>
  <c r="J107" i="6"/>
  <c r="K107" i="6" s="1"/>
  <c r="J104" i="1"/>
  <c r="K104" i="1"/>
  <c r="K109" i="7" l="1"/>
  <c r="P109" i="7" s="1"/>
  <c r="S109" i="7"/>
  <c r="R110" i="7"/>
  <c r="J110" i="7"/>
  <c r="J108" i="6"/>
  <c r="K108" i="6" s="1"/>
  <c r="J105" i="1"/>
  <c r="K105" i="1" s="1"/>
  <c r="K110" i="7" l="1"/>
  <c r="P110" i="7" s="1"/>
  <c r="S110" i="7"/>
  <c r="R111" i="7"/>
  <c r="J111" i="7"/>
  <c r="J109" i="6"/>
  <c r="K109" i="6" s="1"/>
  <c r="J106" i="1"/>
  <c r="K106" i="1" s="1"/>
  <c r="K111" i="7" l="1"/>
  <c r="P111" i="7" s="1"/>
  <c r="S111" i="7"/>
  <c r="R112" i="7"/>
  <c r="J112" i="7"/>
  <c r="J110" i="6"/>
  <c r="K110" i="6" s="1"/>
  <c r="J107" i="1"/>
  <c r="K107" i="1"/>
  <c r="K112" i="7" l="1"/>
  <c r="P112" i="7" s="1"/>
  <c r="S112" i="7"/>
  <c r="R113" i="7"/>
  <c r="J113" i="7"/>
  <c r="J111" i="6"/>
  <c r="K111" i="6" s="1"/>
  <c r="J108" i="1"/>
  <c r="K108" i="1" s="1"/>
  <c r="K113" i="7" l="1"/>
  <c r="P113" i="7" s="1"/>
  <c r="S113" i="7"/>
  <c r="R114" i="7"/>
  <c r="J114" i="7"/>
  <c r="J112" i="6"/>
  <c r="K112" i="6" s="1"/>
  <c r="J109" i="1"/>
  <c r="K109" i="1" s="1"/>
  <c r="K114" i="7" l="1"/>
  <c r="P114" i="7" s="1"/>
  <c r="S114" i="7"/>
  <c r="R115" i="7"/>
  <c r="J115" i="7"/>
  <c r="J113" i="6"/>
  <c r="K113" i="6" s="1"/>
  <c r="J110" i="1"/>
  <c r="K110" i="1" s="1"/>
  <c r="K115" i="7" l="1"/>
  <c r="P115" i="7" s="1"/>
  <c r="S115" i="7"/>
  <c r="R116" i="7"/>
  <c r="J116" i="7"/>
  <c r="J114" i="6"/>
  <c r="K114" i="6" s="1"/>
  <c r="J111" i="1"/>
  <c r="K111" i="1"/>
  <c r="K116" i="7" l="1"/>
  <c r="P116" i="7" s="1"/>
  <c r="S116" i="7"/>
  <c r="R117" i="7"/>
  <c r="J117" i="7"/>
  <c r="J115" i="6"/>
  <c r="K115" i="6" s="1"/>
  <c r="J112" i="1"/>
  <c r="K112" i="1"/>
  <c r="K117" i="7" l="1"/>
  <c r="P117" i="7" s="1"/>
  <c r="S117" i="7"/>
  <c r="R118" i="7"/>
  <c r="J118" i="7"/>
  <c r="J116" i="6"/>
  <c r="K116" i="6" s="1"/>
  <c r="J113" i="1"/>
  <c r="K113" i="1" s="1"/>
  <c r="K118" i="7" l="1"/>
  <c r="P118" i="7" s="1"/>
  <c r="S118" i="7"/>
  <c r="R119" i="7"/>
  <c r="J119" i="7"/>
  <c r="J117" i="6"/>
  <c r="K117" i="6" s="1"/>
  <c r="J114" i="1"/>
  <c r="K114" i="1" s="1"/>
  <c r="K119" i="7" l="1"/>
  <c r="P119" i="7" s="1"/>
  <c r="S119" i="7"/>
  <c r="R120" i="7"/>
  <c r="J120" i="7"/>
  <c r="J118" i="6"/>
  <c r="K118" i="6" s="1"/>
  <c r="J115" i="1"/>
  <c r="K115" i="1" s="1"/>
  <c r="K120" i="7" l="1"/>
  <c r="P120" i="7" s="1"/>
  <c r="S120" i="7"/>
  <c r="R121" i="7"/>
  <c r="J121" i="7"/>
  <c r="J119" i="6"/>
  <c r="K119" i="6" s="1"/>
  <c r="J116" i="1"/>
  <c r="K116" i="1"/>
  <c r="K121" i="7" l="1"/>
  <c r="P121" i="7" s="1"/>
  <c r="S121" i="7"/>
  <c r="R122" i="7"/>
  <c r="J122" i="7"/>
  <c r="J120" i="6"/>
  <c r="K120" i="6" s="1"/>
  <c r="J117" i="1"/>
  <c r="K117" i="1"/>
  <c r="K122" i="7" l="1"/>
  <c r="P122" i="7" s="1"/>
  <c r="S122" i="7"/>
  <c r="R123" i="7"/>
  <c r="J123" i="7"/>
  <c r="J121" i="6"/>
  <c r="K121" i="6" s="1"/>
  <c r="J118" i="1"/>
  <c r="K118" i="1" s="1"/>
  <c r="K123" i="7" l="1"/>
  <c r="P123" i="7" s="1"/>
  <c r="S123" i="7"/>
  <c r="R124" i="7"/>
  <c r="J124" i="7"/>
  <c r="J122" i="6"/>
  <c r="K122" i="6" s="1"/>
  <c r="J119" i="1"/>
  <c r="K119" i="1" s="1"/>
  <c r="K124" i="7" l="1"/>
  <c r="P124" i="7" s="1"/>
  <c r="S124" i="7"/>
  <c r="R125" i="7"/>
  <c r="J125" i="7"/>
  <c r="J123" i="6"/>
  <c r="K123" i="6" s="1"/>
  <c r="J120" i="1"/>
  <c r="K120" i="1" s="1"/>
  <c r="K125" i="7" l="1"/>
  <c r="P125" i="7" s="1"/>
  <c r="S125" i="7"/>
  <c r="R126" i="7"/>
  <c r="J126" i="7"/>
  <c r="J124" i="6"/>
  <c r="K124" i="6" s="1"/>
  <c r="J121" i="1"/>
  <c r="K121" i="1" s="1"/>
  <c r="K126" i="7" l="1"/>
  <c r="P126" i="7" s="1"/>
  <c r="S126" i="7"/>
  <c r="R127" i="7"/>
  <c r="J127" i="7"/>
  <c r="J125" i="6"/>
  <c r="K125" i="6" s="1"/>
  <c r="J122" i="1"/>
  <c r="K122" i="1" s="1"/>
  <c r="K127" i="7" l="1"/>
  <c r="P127" i="7" s="1"/>
  <c r="S127" i="7"/>
  <c r="R128" i="7"/>
  <c r="J128" i="7"/>
  <c r="J126" i="6"/>
  <c r="K126" i="6" s="1"/>
  <c r="J123" i="1"/>
  <c r="K123" i="1" s="1"/>
  <c r="K128" i="7" l="1"/>
  <c r="P128" i="7" s="1"/>
  <c r="S128" i="7"/>
  <c r="R129" i="7"/>
  <c r="J129" i="7"/>
  <c r="J127" i="6"/>
  <c r="K127" i="6" s="1"/>
  <c r="J124" i="1"/>
  <c r="K124" i="1" s="1"/>
  <c r="K129" i="7" l="1"/>
  <c r="P129" i="7" s="1"/>
  <c r="S129" i="7"/>
  <c r="R130" i="7"/>
  <c r="J130" i="7"/>
  <c r="J128" i="6"/>
  <c r="K128" i="6" s="1"/>
  <c r="K125" i="1"/>
  <c r="J125" i="1"/>
  <c r="K130" i="7" l="1"/>
  <c r="P130" i="7" s="1"/>
  <c r="S130" i="7"/>
  <c r="R131" i="7"/>
  <c r="J131" i="7"/>
  <c r="J129" i="6"/>
  <c r="K129" i="6"/>
  <c r="J126" i="1"/>
  <c r="K126" i="1" s="1"/>
  <c r="K131" i="7" l="1"/>
  <c r="P131" i="7" s="1"/>
  <c r="S131" i="7"/>
  <c r="R132" i="7"/>
  <c r="J132" i="7"/>
  <c r="J130" i="6"/>
  <c r="K130" i="6" s="1"/>
  <c r="J127" i="1"/>
  <c r="K127" i="1"/>
  <c r="K132" i="7" l="1"/>
  <c r="P132" i="7" s="1"/>
  <c r="S132" i="7"/>
  <c r="R133" i="7"/>
  <c r="J133" i="7"/>
  <c r="J131" i="6"/>
  <c r="K131" i="6" s="1"/>
  <c r="J128" i="1"/>
  <c r="K128" i="1" s="1"/>
  <c r="K133" i="7" l="1"/>
  <c r="P133" i="7" s="1"/>
  <c r="S133" i="7"/>
  <c r="R134" i="7"/>
  <c r="J134" i="7"/>
  <c r="J132" i="6"/>
  <c r="K132" i="6" s="1"/>
  <c r="J129" i="1"/>
  <c r="K129" i="1"/>
  <c r="K134" i="7" l="1"/>
  <c r="P134" i="7" s="1"/>
  <c r="S134" i="7"/>
  <c r="R135" i="7"/>
  <c r="J135" i="7"/>
  <c r="J133" i="6"/>
  <c r="K133" i="6" s="1"/>
  <c r="J130" i="1"/>
  <c r="K130" i="1" s="1"/>
  <c r="K135" i="7" l="1"/>
  <c r="P135" i="7" s="1"/>
  <c r="S135" i="7"/>
  <c r="R136" i="7"/>
  <c r="J136" i="7"/>
  <c r="J134" i="6"/>
  <c r="K134" i="6" s="1"/>
  <c r="J131" i="1"/>
  <c r="K131" i="1"/>
  <c r="K136" i="7" l="1"/>
  <c r="P136" i="7" s="1"/>
  <c r="S136" i="7"/>
  <c r="R137" i="7"/>
  <c r="J137" i="7"/>
  <c r="J135" i="6"/>
  <c r="K135" i="6" s="1"/>
  <c r="J132" i="1"/>
  <c r="K132" i="1" s="1"/>
  <c r="K137" i="7" l="1"/>
  <c r="P137" i="7" s="1"/>
  <c r="S137" i="7"/>
  <c r="R138" i="7"/>
  <c r="J138" i="7"/>
  <c r="J136" i="6"/>
  <c r="K136" i="6" s="1"/>
  <c r="J133" i="1"/>
  <c r="K133" i="1"/>
  <c r="K138" i="7" l="1"/>
  <c r="P138" i="7" s="1"/>
  <c r="S138" i="7"/>
  <c r="R139" i="7"/>
  <c r="J139" i="7"/>
  <c r="J137" i="6"/>
  <c r="K137" i="6" s="1"/>
  <c r="J134" i="1"/>
  <c r="K134" i="1" s="1"/>
  <c r="K139" i="7" l="1"/>
  <c r="P139" i="7" s="1"/>
  <c r="S139" i="7"/>
  <c r="R140" i="7"/>
  <c r="J140" i="7"/>
  <c r="J138" i="6"/>
  <c r="K138" i="6" s="1"/>
  <c r="J135" i="1"/>
  <c r="K135" i="1" s="1"/>
  <c r="K140" i="7" l="1"/>
  <c r="P140" i="7" s="1"/>
  <c r="S140" i="7"/>
  <c r="R141" i="7"/>
  <c r="J141" i="7"/>
  <c r="J139" i="6"/>
  <c r="K139" i="6" s="1"/>
  <c r="K136" i="1"/>
  <c r="J136" i="1"/>
  <c r="K141" i="7" l="1"/>
  <c r="P141" i="7" s="1"/>
  <c r="S141" i="7"/>
  <c r="R142" i="7"/>
  <c r="J142" i="7"/>
  <c r="J140" i="6"/>
  <c r="K140" i="6" s="1"/>
  <c r="J137" i="1"/>
  <c r="K137" i="1"/>
  <c r="K142" i="7" l="1"/>
  <c r="P142" i="7" s="1"/>
  <c r="S142" i="7"/>
  <c r="R143" i="7"/>
  <c r="J143" i="7"/>
  <c r="J141" i="6"/>
  <c r="K141" i="6" s="1"/>
  <c r="J138" i="1"/>
  <c r="K138" i="1"/>
  <c r="K143" i="7" l="1"/>
  <c r="P143" i="7" s="1"/>
  <c r="S143" i="7"/>
  <c r="R144" i="7"/>
  <c r="J144" i="7"/>
  <c r="J142" i="6"/>
  <c r="K142" i="6" s="1"/>
  <c r="J139" i="1"/>
  <c r="K139" i="1" s="1"/>
  <c r="K144" i="7" l="1"/>
  <c r="P144" i="7" s="1"/>
  <c r="S144" i="7"/>
  <c r="R145" i="7"/>
  <c r="J145" i="7"/>
  <c r="J143" i="6"/>
  <c r="K143" i="6" s="1"/>
  <c r="J140" i="1"/>
  <c r="K140" i="1"/>
  <c r="K145" i="7" l="1"/>
  <c r="P145" i="7" s="1"/>
  <c r="S145" i="7"/>
  <c r="R146" i="7"/>
  <c r="J146" i="7"/>
  <c r="J144" i="6"/>
  <c r="K144" i="6" s="1"/>
  <c r="J141" i="1"/>
  <c r="K141" i="1" s="1"/>
  <c r="K146" i="7" l="1"/>
  <c r="P146" i="7" s="1"/>
  <c r="S146" i="7"/>
  <c r="R147" i="7"/>
  <c r="J147" i="7"/>
  <c r="J145" i="6"/>
  <c r="K145" i="6" s="1"/>
  <c r="J142" i="1"/>
  <c r="K142" i="1" s="1"/>
  <c r="K147" i="7" l="1"/>
  <c r="P147" i="7" s="1"/>
  <c r="S147" i="7"/>
  <c r="R148" i="7"/>
  <c r="J148" i="7"/>
  <c r="J146" i="6"/>
  <c r="K146" i="6" s="1"/>
  <c r="J143" i="1"/>
  <c r="K143" i="1" s="1"/>
  <c r="K148" i="7" l="1"/>
  <c r="P148" i="7" s="1"/>
  <c r="S148" i="7"/>
  <c r="R149" i="7"/>
  <c r="J149" i="7"/>
  <c r="J147" i="6"/>
  <c r="K147" i="6" s="1"/>
  <c r="J144" i="1"/>
  <c r="K144" i="1" s="1"/>
  <c r="K149" i="7" l="1"/>
  <c r="P149" i="7" s="1"/>
  <c r="S149" i="7"/>
  <c r="R150" i="7"/>
  <c r="J150" i="7"/>
  <c r="J148" i="6"/>
  <c r="K148" i="6" s="1"/>
  <c r="J145" i="1"/>
  <c r="K145" i="1"/>
  <c r="K150" i="7" l="1"/>
  <c r="P150" i="7" s="1"/>
  <c r="S150" i="7"/>
  <c r="R151" i="7"/>
  <c r="J151" i="7"/>
  <c r="J149" i="6"/>
  <c r="K149" i="6" s="1"/>
  <c r="J146" i="1"/>
  <c r="K146" i="1" s="1"/>
  <c r="K151" i="7" l="1"/>
  <c r="P151" i="7" s="1"/>
  <c r="S151" i="7"/>
  <c r="R152" i="7"/>
  <c r="J152" i="7"/>
  <c r="J150" i="6"/>
  <c r="K150" i="6" s="1"/>
  <c r="J147" i="1"/>
  <c r="K147" i="1" s="1"/>
  <c r="K152" i="7" l="1"/>
  <c r="P152" i="7" s="1"/>
  <c r="S152" i="7"/>
  <c r="R153" i="7"/>
  <c r="J153" i="7"/>
  <c r="J151" i="6"/>
  <c r="K151" i="6" s="1"/>
  <c r="J148" i="1"/>
  <c r="K148" i="1" s="1"/>
  <c r="K153" i="7" l="1"/>
  <c r="P153" i="7" s="1"/>
  <c r="S153" i="7"/>
  <c r="R154" i="7"/>
  <c r="J154" i="7"/>
  <c r="J152" i="6"/>
  <c r="K152" i="6" s="1"/>
  <c r="J149" i="1"/>
  <c r="K149" i="1" s="1"/>
  <c r="K154" i="7" l="1"/>
  <c r="P154" i="7" s="1"/>
  <c r="S154" i="7"/>
  <c r="R155" i="7"/>
  <c r="J155" i="7"/>
  <c r="J153" i="6"/>
  <c r="K153" i="6" s="1"/>
  <c r="J150" i="1"/>
  <c r="K150" i="1"/>
  <c r="K155" i="7" l="1"/>
  <c r="P155" i="7" s="1"/>
  <c r="S155" i="7"/>
  <c r="R156" i="7"/>
  <c r="J156" i="7"/>
  <c r="J154" i="6"/>
  <c r="K154" i="6" s="1"/>
  <c r="J151" i="1"/>
  <c r="K151" i="1"/>
  <c r="K156" i="7" l="1"/>
  <c r="P156" i="7" s="1"/>
  <c r="S156" i="7"/>
  <c r="R157" i="7"/>
  <c r="J157" i="7"/>
  <c r="J155" i="6"/>
  <c r="K155" i="6" s="1"/>
  <c r="J152" i="1"/>
  <c r="K152" i="1"/>
  <c r="K157" i="7" l="1"/>
  <c r="P157" i="7" s="1"/>
  <c r="S157" i="7"/>
  <c r="R158" i="7"/>
  <c r="J158" i="7"/>
  <c r="J156" i="6"/>
  <c r="K156" i="6" s="1"/>
  <c r="J153" i="1"/>
  <c r="K153" i="1" s="1"/>
  <c r="K158" i="7" l="1"/>
  <c r="P158" i="7" s="1"/>
  <c r="S158" i="7"/>
  <c r="R159" i="7"/>
  <c r="J159" i="7"/>
  <c r="J157" i="6"/>
  <c r="K157" i="6" s="1"/>
  <c r="J154" i="1"/>
  <c r="K154" i="1"/>
  <c r="K159" i="7" l="1"/>
  <c r="P159" i="7" s="1"/>
  <c r="S159" i="7"/>
  <c r="R160" i="7"/>
  <c r="J160" i="7"/>
  <c r="J158" i="6"/>
  <c r="K158" i="6" s="1"/>
  <c r="K155" i="1"/>
  <c r="J155" i="1"/>
  <c r="K160" i="7" l="1"/>
  <c r="P160" i="7" s="1"/>
  <c r="S160" i="7"/>
  <c r="R161" i="7"/>
  <c r="J161" i="7"/>
  <c r="J159" i="6"/>
  <c r="K159" i="6" s="1"/>
  <c r="J156" i="1"/>
  <c r="K156" i="1" s="1"/>
  <c r="K161" i="7" l="1"/>
  <c r="P161" i="7" s="1"/>
  <c r="S161" i="7"/>
  <c r="R162" i="7"/>
  <c r="J162" i="7"/>
  <c r="J160" i="6"/>
  <c r="K160" i="6" s="1"/>
  <c r="J157" i="1"/>
  <c r="K157" i="1" s="1"/>
  <c r="K162" i="7" l="1"/>
  <c r="P162" i="7" s="1"/>
  <c r="S162" i="7"/>
  <c r="R163" i="7"/>
  <c r="J163" i="7"/>
  <c r="J161" i="6"/>
  <c r="K161" i="6" s="1"/>
  <c r="J158" i="1"/>
  <c r="K158" i="1" s="1"/>
  <c r="K163" i="7" l="1"/>
  <c r="P163" i="7" s="1"/>
  <c r="S163" i="7"/>
  <c r="R164" i="7"/>
  <c r="J164" i="7"/>
  <c r="J162" i="6"/>
  <c r="K162" i="6" s="1"/>
  <c r="J159" i="1"/>
  <c r="K159" i="1" s="1"/>
  <c r="K164" i="7" l="1"/>
  <c r="P164" i="7" s="1"/>
  <c r="S164" i="7"/>
  <c r="R165" i="7"/>
  <c r="J165" i="7"/>
  <c r="J163" i="6"/>
  <c r="K163" i="6" s="1"/>
  <c r="J160" i="1"/>
  <c r="K160" i="1" s="1"/>
  <c r="K165" i="7" l="1"/>
  <c r="P165" i="7" s="1"/>
  <c r="S165" i="7"/>
  <c r="R166" i="7"/>
  <c r="J166" i="7"/>
  <c r="J164" i="6"/>
  <c r="K164" i="6" s="1"/>
  <c r="J161" i="1"/>
  <c r="K161" i="1" s="1"/>
  <c r="K166" i="7" l="1"/>
  <c r="P166" i="7" s="1"/>
  <c r="S166" i="7"/>
  <c r="R167" i="7"/>
  <c r="J167" i="7"/>
  <c r="J165" i="6"/>
  <c r="K165" i="6" s="1"/>
  <c r="J162" i="1"/>
  <c r="K162" i="1"/>
  <c r="K167" i="7" l="1"/>
  <c r="P167" i="7" s="1"/>
  <c r="S167" i="7"/>
  <c r="R168" i="7"/>
  <c r="J168" i="7"/>
  <c r="J166" i="6"/>
  <c r="K166" i="6" s="1"/>
  <c r="J163" i="1"/>
  <c r="K163" i="1"/>
  <c r="K168" i="7" l="1"/>
  <c r="P168" i="7" s="1"/>
  <c r="S168" i="7"/>
  <c r="R169" i="7"/>
  <c r="J169" i="7"/>
  <c r="J167" i="6"/>
  <c r="K167" i="6" s="1"/>
  <c r="K164" i="1"/>
  <c r="J164" i="1"/>
  <c r="K169" i="7" l="1"/>
  <c r="P169" i="7" s="1"/>
  <c r="S169" i="7"/>
  <c r="R170" i="7"/>
  <c r="J170" i="7"/>
  <c r="J168" i="6"/>
  <c r="K168" i="6" s="1"/>
  <c r="J165" i="1"/>
  <c r="K165" i="1" s="1"/>
  <c r="K170" i="7" l="1"/>
  <c r="P170" i="7" s="1"/>
  <c r="S170" i="7"/>
  <c r="R171" i="7"/>
  <c r="J171" i="7"/>
  <c r="J169" i="6"/>
  <c r="K169" i="6" s="1"/>
  <c r="J166" i="1"/>
  <c r="K166" i="1" s="1"/>
  <c r="K171" i="7" l="1"/>
  <c r="P171" i="7" s="1"/>
  <c r="S171" i="7"/>
  <c r="R172" i="7"/>
  <c r="J172" i="7"/>
  <c r="J170" i="6"/>
  <c r="K170" i="6" s="1"/>
  <c r="J167" i="1"/>
  <c r="K167" i="1" s="1"/>
  <c r="K172" i="7" l="1"/>
  <c r="P172" i="7" s="1"/>
  <c r="S172" i="7"/>
  <c r="R173" i="7"/>
  <c r="J173" i="7"/>
  <c r="J171" i="6"/>
  <c r="K171" i="6" s="1"/>
  <c r="J168" i="1"/>
  <c r="K168" i="1"/>
  <c r="K173" i="7" l="1"/>
  <c r="P173" i="7" s="1"/>
  <c r="S173" i="7"/>
  <c r="R174" i="7"/>
  <c r="J174" i="7"/>
  <c r="J172" i="6"/>
  <c r="K172" i="6" s="1"/>
  <c r="J169" i="1"/>
  <c r="K169" i="1"/>
  <c r="K174" i="7" l="1"/>
  <c r="P174" i="7" s="1"/>
  <c r="S174" i="7"/>
  <c r="R175" i="7"/>
  <c r="J175" i="7"/>
  <c r="J173" i="6"/>
  <c r="K173" i="6" s="1"/>
  <c r="J170" i="1"/>
  <c r="K170" i="1" s="1"/>
  <c r="K175" i="7" l="1"/>
  <c r="P175" i="7" s="1"/>
  <c r="S175" i="7"/>
  <c r="R176" i="7"/>
  <c r="J176" i="7"/>
  <c r="J174" i="6"/>
  <c r="K174" i="6" s="1"/>
  <c r="J171" i="1"/>
  <c r="K171" i="1"/>
  <c r="K176" i="7" l="1"/>
  <c r="P176" i="7" s="1"/>
  <c r="S176" i="7"/>
  <c r="R177" i="7"/>
  <c r="J177" i="7"/>
  <c r="J175" i="6"/>
  <c r="K175" i="6" s="1"/>
  <c r="J172" i="1"/>
  <c r="K172" i="1" s="1"/>
  <c r="K177" i="7" l="1"/>
  <c r="P177" i="7" s="1"/>
  <c r="S177" i="7"/>
  <c r="R178" i="7"/>
  <c r="J178" i="7"/>
  <c r="J176" i="6"/>
  <c r="K176" i="6" s="1"/>
  <c r="J173" i="1"/>
  <c r="K173" i="1" s="1"/>
  <c r="K178" i="7" l="1"/>
  <c r="P178" i="7" s="1"/>
  <c r="S178" i="7"/>
  <c r="R179" i="7"/>
  <c r="J179" i="7"/>
  <c r="J177" i="6"/>
  <c r="K177" i="6" s="1"/>
  <c r="J174" i="1"/>
  <c r="K174" i="1" s="1"/>
  <c r="K179" i="7" l="1"/>
  <c r="P179" i="7" s="1"/>
  <c r="S179" i="7"/>
  <c r="R180" i="7"/>
  <c r="J180" i="7"/>
  <c r="J178" i="6"/>
  <c r="K178" i="6" s="1"/>
  <c r="J175" i="1"/>
  <c r="K175" i="1" s="1"/>
  <c r="K180" i="7" l="1"/>
  <c r="P180" i="7" s="1"/>
  <c r="S180" i="7"/>
  <c r="R181" i="7"/>
  <c r="J181" i="7"/>
  <c r="J179" i="6"/>
  <c r="K179" i="6" s="1"/>
  <c r="J176" i="1"/>
  <c r="K176" i="1"/>
  <c r="K181" i="7" l="1"/>
  <c r="P181" i="7" s="1"/>
  <c r="S181" i="7"/>
  <c r="R182" i="7"/>
  <c r="J182" i="7"/>
  <c r="J180" i="6"/>
  <c r="K180" i="6" s="1"/>
  <c r="J177" i="1"/>
  <c r="K177" i="1" s="1"/>
  <c r="K182" i="7" l="1"/>
  <c r="P182" i="7" s="1"/>
  <c r="S182" i="7"/>
  <c r="R183" i="7"/>
  <c r="J183" i="7"/>
  <c r="J181" i="6"/>
  <c r="K181" i="6" s="1"/>
  <c r="J178" i="1"/>
  <c r="K178" i="1" s="1"/>
  <c r="K183" i="7" l="1"/>
  <c r="P183" i="7" s="1"/>
  <c r="S183" i="7"/>
  <c r="R184" i="7"/>
  <c r="J184" i="7"/>
  <c r="J182" i="6"/>
  <c r="K182" i="6" s="1"/>
  <c r="J179" i="1"/>
  <c r="K179" i="1"/>
  <c r="K184" i="7" l="1"/>
  <c r="P184" i="7" s="1"/>
  <c r="S184" i="7"/>
  <c r="R185" i="7"/>
  <c r="J185" i="7"/>
  <c r="J183" i="6"/>
  <c r="K183" i="6" s="1"/>
  <c r="J180" i="1"/>
  <c r="K180" i="1" s="1"/>
  <c r="K185" i="7" l="1"/>
  <c r="P185" i="7" s="1"/>
  <c r="S185" i="7"/>
  <c r="R186" i="7"/>
  <c r="J186" i="7"/>
  <c r="J184" i="6"/>
  <c r="K184" i="6" s="1"/>
  <c r="J181" i="1"/>
  <c r="K181" i="1" s="1"/>
  <c r="K186" i="7" l="1"/>
  <c r="P186" i="7" s="1"/>
  <c r="S186" i="7"/>
  <c r="R187" i="7"/>
  <c r="J187" i="7"/>
  <c r="J185" i="6"/>
  <c r="K185" i="6"/>
  <c r="J182" i="1"/>
  <c r="K182" i="1" s="1"/>
  <c r="K187" i="7" l="1"/>
  <c r="P187" i="7" s="1"/>
  <c r="S187" i="7"/>
  <c r="R188" i="7"/>
  <c r="J188" i="7"/>
  <c r="J186" i="6"/>
  <c r="K186" i="6" s="1"/>
  <c r="J183" i="1"/>
  <c r="K183" i="1" s="1"/>
  <c r="K188" i="7" l="1"/>
  <c r="P188" i="7" s="1"/>
  <c r="S188" i="7"/>
  <c r="R189" i="7"/>
  <c r="J189" i="7"/>
  <c r="J187" i="6"/>
  <c r="K187" i="6" s="1"/>
  <c r="J184" i="1"/>
  <c r="K184" i="1"/>
  <c r="K189" i="7" l="1"/>
  <c r="P189" i="7" s="1"/>
  <c r="S189" i="7"/>
  <c r="R190" i="7"/>
  <c r="J190" i="7"/>
  <c r="J188" i="6"/>
  <c r="K188" i="6" s="1"/>
  <c r="J185" i="1"/>
  <c r="K185" i="1"/>
  <c r="K190" i="7" l="1"/>
  <c r="P190" i="7" s="1"/>
  <c r="S190" i="7"/>
  <c r="R191" i="7"/>
  <c r="J191" i="7"/>
  <c r="J189" i="6"/>
  <c r="K189" i="6" s="1"/>
  <c r="J186" i="1"/>
  <c r="K186" i="1" s="1"/>
  <c r="K191" i="7" l="1"/>
  <c r="P191" i="7" s="1"/>
  <c r="S191" i="7"/>
  <c r="R192" i="7"/>
  <c r="J192" i="7"/>
  <c r="J190" i="6"/>
  <c r="K190" i="6" s="1"/>
  <c r="J187" i="1"/>
  <c r="K187" i="1" s="1"/>
  <c r="K192" i="7" l="1"/>
  <c r="P192" i="7" s="1"/>
  <c r="S192" i="7"/>
  <c r="R193" i="7"/>
  <c r="J193" i="7"/>
  <c r="J191" i="6"/>
  <c r="K191" i="6" s="1"/>
  <c r="J188" i="1"/>
  <c r="K188" i="1" s="1"/>
  <c r="K193" i="7" l="1"/>
  <c r="P193" i="7" s="1"/>
  <c r="S193" i="7"/>
  <c r="R194" i="7"/>
  <c r="J194" i="7"/>
  <c r="J192" i="6"/>
  <c r="K192" i="6"/>
  <c r="J189" i="1"/>
  <c r="K189" i="1" s="1"/>
  <c r="K194" i="7" l="1"/>
  <c r="P194" i="7" s="1"/>
  <c r="S194" i="7"/>
  <c r="R195" i="7"/>
  <c r="J195" i="7"/>
  <c r="J193" i="6"/>
  <c r="K193" i="6" s="1"/>
  <c r="J190" i="1"/>
  <c r="K190" i="1" s="1"/>
  <c r="K195" i="7" l="1"/>
  <c r="P195" i="7" s="1"/>
  <c r="S195" i="7"/>
  <c r="R196" i="7"/>
  <c r="J196" i="7"/>
  <c r="J194" i="6"/>
  <c r="K194" i="6" s="1"/>
  <c r="J191" i="1"/>
  <c r="K191" i="1"/>
  <c r="K196" i="7" l="1"/>
  <c r="P196" i="7" s="1"/>
  <c r="S196" i="7"/>
  <c r="R197" i="7"/>
  <c r="J197" i="7"/>
  <c r="J195" i="6"/>
  <c r="K195" i="6" s="1"/>
  <c r="J192" i="1"/>
  <c r="K192" i="1" s="1"/>
  <c r="K197" i="7" l="1"/>
  <c r="P197" i="7" s="1"/>
  <c r="S197" i="7"/>
  <c r="R198" i="7"/>
  <c r="J198" i="7"/>
  <c r="J196" i="6"/>
  <c r="K196" i="6" s="1"/>
  <c r="J193" i="1"/>
  <c r="K193" i="1" s="1"/>
  <c r="K198" i="7" l="1"/>
  <c r="P198" i="7" s="1"/>
  <c r="S198" i="7"/>
  <c r="R199" i="7"/>
  <c r="J199" i="7"/>
  <c r="J197" i="6"/>
  <c r="K197" i="6" s="1"/>
  <c r="J194" i="1"/>
  <c r="K194" i="1" s="1"/>
  <c r="K199" i="7" l="1"/>
  <c r="P199" i="7" s="1"/>
  <c r="S199" i="7"/>
  <c r="R200" i="7"/>
  <c r="J200" i="7"/>
  <c r="J198" i="6"/>
  <c r="K198" i="6" s="1"/>
  <c r="J195" i="1"/>
  <c r="K195" i="1" s="1"/>
  <c r="K200" i="7" l="1"/>
  <c r="P200" i="7" s="1"/>
  <c r="S200" i="7"/>
  <c r="R201" i="7"/>
  <c r="J201" i="7"/>
  <c r="M200" i="7" s="1"/>
  <c r="J199" i="6"/>
  <c r="K199" i="6" s="1"/>
  <c r="J196" i="1"/>
  <c r="K196" i="1" s="1"/>
  <c r="M198" i="7" l="1"/>
  <c r="M197" i="7"/>
  <c r="K201" i="7"/>
  <c r="P201" i="7" s="1"/>
  <c r="M201" i="7"/>
  <c r="M2" i="7"/>
  <c r="M3" i="7"/>
  <c r="M4" i="7"/>
  <c r="M6" i="7"/>
  <c r="M5" i="7"/>
  <c r="M7" i="7"/>
  <c r="M8" i="7"/>
  <c r="M10" i="7"/>
  <c r="M9" i="7"/>
  <c r="M11" i="7"/>
  <c r="M14" i="7"/>
  <c r="M13" i="7"/>
  <c r="M12" i="7"/>
  <c r="M17" i="7"/>
  <c r="M15" i="7"/>
  <c r="M16" i="7"/>
  <c r="M19" i="7"/>
  <c r="M18" i="7"/>
  <c r="M20" i="7"/>
  <c r="M21" i="7"/>
  <c r="M22" i="7"/>
  <c r="M24" i="7"/>
  <c r="M25" i="7"/>
  <c r="M23" i="7"/>
  <c r="M26" i="7"/>
  <c r="M28" i="7"/>
  <c r="M27" i="7"/>
  <c r="M30" i="7"/>
  <c r="M29" i="7"/>
  <c r="M31" i="7"/>
  <c r="M32" i="7"/>
  <c r="M33" i="7"/>
  <c r="M34" i="7"/>
  <c r="M36" i="7"/>
  <c r="M35" i="7"/>
  <c r="M38" i="7"/>
  <c r="M37" i="7"/>
  <c r="M41" i="7"/>
  <c r="M39" i="7"/>
  <c r="M40" i="7"/>
  <c r="M43" i="7"/>
  <c r="M44" i="7"/>
  <c r="M45" i="7"/>
  <c r="M42" i="7"/>
  <c r="M47" i="7"/>
  <c r="M49" i="7"/>
  <c r="M46" i="7"/>
  <c r="M48" i="7"/>
  <c r="M53" i="7"/>
  <c r="M52" i="7"/>
  <c r="M51" i="7"/>
  <c r="M50" i="7"/>
  <c r="M54" i="7"/>
  <c r="M55" i="7"/>
  <c r="M57" i="7"/>
  <c r="M56" i="7"/>
  <c r="M58" i="7"/>
  <c r="M59" i="7"/>
  <c r="M61" i="7"/>
  <c r="M63" i="7"/>
  <c r="M62" i="7"/>
  <c r="M60" i="7"/>
  <c r="M65" i="7"/>
  <c r="M64" i="7"/>
  <c r="M67" i="7"/>
  <c r="M66" i="7"/>
  <c r="M68" i="7"/>
  <c r="M70" i="7"/>
  <c r="M69" i="7"/>
  <c r="M71" i="7"/>
  <c r="M72" i="7"/>
  <c r="M73" i="7"/>
  <c r="M75" i="7"/>
  <c r="M76" i="7"/>
  <c r="M74" i="7"/>
  <c r="M77" i="7"/>
  <c r="M80" i="7"/>
  <c r="M79" i="7"/>
  <c r="M78" i="7"/>
  <c r="M81" i="7"/>
  <c r="M82" i="7"/>
  <c r="M83" i="7"/>
  <c r="M84" i="7"/>
  <c r="M86" i="7"/>
  <c r="M85" i="7"/>
  <c r="M87" i="7"/>
  <c r="M88" i="7"/>
  <c r="M91" i="7"/>
  <c r="M90" i="7"/>
  <c r="M92" i="7"/>
  <c r="M93" i="7"/>
  <c r="M89" i="7"/>
  <c r="M94" i="7"/>
  <c r="M95" i="7"/>
  <c r="M96" i="7"/>
  <c r="M98" i="7"/>
  <c r="M100" i="7"/>
  <c r="M97" i="7"/>
  <c r="M99" i="7"/>
  <c r="M101" i="7"/>
  <c r="M102" i="7"/>
  <c r="M103" i="7"/>
  <c r="M104" i="7"/>
  <c r="M106" i="7"/>
  <c r="M105" i="7"/>
  <c r="M107" i="7"/>
  <c r="M109" i="7"/>
  <c r="M108" i="7"/>
  <c r="M111" i="7"/>
  <c r="M112" i="7"/>
  <c r="M110" i="7"/>
  <c r="M114" i="7"/>
  <c r="M115" i="7"/>
  <c r="M113" i="7"/>
  <c r="M117" i="7"/>
  <c r="M116" i="7"/>
  <c r="M119" i="7"/>
  <c r="M118" i="7"/>
  <c r="M120" i="7"/>
  <c r="M121" i="7"/>
  <c r="M122" i="7"/>
  <c r="M123" i="7"/>
  <c r="M124" i="7"/>
  <c r="M125" i="7"/>
  <c r="M126" i="7"/>
  <c r="M128" i="7"/>
  <c r="M127" i="7"/>
  <c r="M129" i="7"/>
  <c r="M130" i="7"/>
  <c r="M132" i="7"/>
  <c r="M131" i="7"/>
  <c r="M133" i="7"/>
  <c r="M135" i="7"/>
  <c r="M134" i="7"/>
  <c r="M136" i="7"/>
  <c r="M137" i="7"/>
  <c r="M139" i="7"/>
  <c r="M138" i="7"/>
  <c r="M141" i="7"/>
  <c r="M140" i="7"/>
  <c r="M142" i="7"/>
  <c r="M143" i="7"/>
  <c r="M146" i="7"/>
  <c r="M145" i="7"/>
  <c r="M144" i="7"/>
  <c r="M148" i="7"/>
  <c r="M147" i="7"/>
  <c r="M149" i="7"/>
  <c r="M151" i="7"/>
  <c r="M150" i="7"/>
  <c r="M152" i="7"/>
  <c r="M153" i="7"/>
  <c r="M155" i="7"/>
  <c r="M157" i="7"/>
  <c r="M154" i="7"/>
  <c r="M156" i="7"/>
  <c r="M159" i="7"/>
  <c r="M158" i="7"/>
  <c r="M160" i="7"/>
  <c r="M162" i="7"/>
  <c r="M161" i="7"/>
  <c r="M163" i="7"/>
  <c r="M165" i="7"/>
  <c r="M164" i="7"/>
  <c r="M166" i="7"/>
  <c r="M168" i="7"/>
  <c r="M167" i="7"/>
  <c r="M169" i="7"/>
  <c r="M171" i="7"/>
  <c r="M170" i="7"/>
  <c r="M172" i="7"/>
  <c r="M173" i="7"/>
  <c r="M176" i="7"/>
  <c r="M175" i="7"/>
  <c r="M177" i="7"/>
  <c r="M174" i="7"/>
  <c r="M179" i="7"/>
  <c r="M178" i="7"/>
  <c r="M180" i="7"/>
  <c r="M182" i="7"/>
  <c r="M181" i="7"/>
  <c r="M184" i="7"/>
  <c r="M183" i="7"/>
  <c r="M185" i="7"/>
  <c r="M187" i="7"/>
  <c r="M186" i="7"/>
  <c r="M188" i="7"/>
  <c r="M190" i="7"/>
  <c r="M189" i="7"/>
  <c r="M191" i="7"/>
  <c r="M193" i="7"/>
  <c r="M194" i="7"/>
  <c r="M192" i="7"/>
  <c r="M195" i="7"/>
  <c r="M196" i="7"/>
  <c r="M199" i="7"/>
  <c r="U201" i="7"/>
  <c r="U2" i="7"/>
  <c r="U4" i="7"/>
  <c r="U5" i="7"/>
  <c r="U3" i="7"/>
  <c r="U7" i="7"/>
  <c r="U6" i="7"/>
  <c r="U8" i="7"/>
  <c r="U10" i="7"/>
  <c r="U9" i="7"/>
  <c r="U13" i="7"/>
  <c r="U11" i="7"/>
  <c r="U12" i="7"/>
  <c r="U16" i="7"/>
  <c r="U14" i="7"/>
  <c r="U17" i="7"/>
  <c r="U15" i="7"/>
  <c r="U19" i="7"/>
  <c r="U18" i="7"/>
  <c r="U20" i="7"/>
  <c r="U21" i="7"/>
  <c r="U22" i="7"/>
  <c r="U24" i="7"/>
  <c r="U23" i="7"/>
  <c r="U27" i="7"/>
  <c r="U25" i="7"/>
  <c r="U26" i="7"/>
  <c r="U28" i="7"/>
  <c r="U29" i="7"/>
  <c r="U31" i="7"/>
  <c r="U30" i="7"/>
  <c r="U32" i="7"/>
  <c r="U33" i="7"/>
  <c r="U35" i="7"/>
  <c r="U34" i="7"/>
  <c r="U36" i="7"/>
  <c r="U37" i="7"/>
  <c r="U40" i="7"/>
  <c r="U38" i="7"/>
  <c r="U39" i="7"/>
  <c r="U41" i="7"/>
  <c r="U42" i="7"/>
  <c r="U43" i="7"/>
  <c r="U45" i="7"/>
  <c r="U44" i="7"/>
  <c r="U46" i="7"/>
  <c r="U47" i="7"/>
  <c r="U50" i="7"/>
  <c r="U48" i="7"/>
  <c r="U49" i="7"/>
  <c r="U52" i="7"/>
  <c r="U53" i="7"/>
  <c r="U51" i="7"/>
  <c r="U55" i="7"/>
  <c r="U56" i="7"/>
  <c r="U54" i="7"/>
  <c r="U57" i="7"/>
  <c r="U60" i="7"/>
  <c r="U58" i="7"/>
  <c r="U59" i="7"/>
  <c r="U61" i="7"/>
  <c r="U62" i="7"/>
  <c r="U63" i="7"/>
  <c r="U66" i="7"/>
  <c r="U64" i="7"/>
  <c r="U65" i="7"/>
  <c r="U67" i="7"/>
  <c r="U70" i="7"/>
  <c r="U68" i="7"/>
  <c r="U69" i="7"/>
  <c r="U71" i="7"/>
  <c r="U73" i="7"/>
  <c r="U72" i="7"/>
  <c r="U76" i="7"/>
  <c r="U75" i="7"/>
  <c r="U74" i="7"/>
  <c r="U77" i="7"/>
  <c r="U80" i="7"/>
  <c r="U78" i="7"/>
  <c r="U79" i="7"/>
  <c r="U81" i="7"/>
  <c r="U82" i="7"/>
  <c r="U84" i="7"/>
  <c r="U85" i="7"/>
  <c r="U86" i="7"/>
  <c r="U83" i="7"/>
  <c r="U87" i="7"/>
  <c r="U88" i="7"/>
  <c r="U89" i="7"/>
  <c r="U91" i="7"/>
  <c r="U92" i="7"/>
  <c r="U90" i="7"/>
  <c r="U94" i="7"/>
  <c r="U93" i="7"/>
  <c r="U96" i="7"/>
  <c r="U95" i="7"/>
  <c r="U98" i="7"/>
  <c r="U97" i="7"/>
  <c r="U99" i="7"/>
  <c r="U101" i="7"/>
  <c r="U100" i="7"/>
  <c r="U102" i="7"/>
  <c r="U103" i="7"/>
  <c r="U104" i="7"/>
  <c r="U105" i="7"/>
  <c r="U108" i="7"/>
  <c r="U106" i="7"/>
  <c r="U109" i="7"/>
  <c r="U107" i="7"/>
  <c r="U110" i="7"/>
  <c r="U114" i="7"/>
  <c r="U111" i="7"/>
  <c r="U112" i="7"/>
  <c r="U113" i="7"/>
  <c r="U117" i="7"/>
  <c r="U116" i="7"/>
  <c r="U115" i="7"/>
  <c r="U120" i="7"/>
  <c r="U118" i="7"/>
  <c r="U119" i="7"/>
  <c r="U123" i="7"/>
  <c r="U121" i="7"/>
  <c r="U122" i="7"/>
  <c r="U124" i="7"/>
  <c r="U125" i="7"/>
  <c r="U127" i="7"/>
  <c r="U126" i="7"/>
  <c r="U128" i="7"/>
  <c r="U132" i="7"/>
  <c r="U130" i="7"/>
  <c r="U129" i="7"/>
  <c r="U131" i="7"/>
  <c r="U133" i="7"/>
  <c r="U134" i="7"/>
  <c r="U136" i="7"/>
  <c r="U135" i="7"/>
  <c r="U141" i="7"/>
  <c r="U140" i="7"/>
  <c r="U137" i="7"/>
  <c r="U138" i="7"/>
  <c r="U139" i="7"/>
  <c r="U142" i="7"/>
  <c r="U144" i="7"/>
  <c r="U146" i="7"/>
  <c r="U143" i="7"/>
  <c r="U148" i="7"/>
  <c r="U145" i="7"/>
  <c r="U147" i="7"/>
  <c r="U150" i="7"/>
  <c r="U149" i="7"/>
  <c r="U153" i="7"/>
  <c r="U154" i="7"/>
  <c r="U151" i="7"/>
  <c r="U152" i="7"/>
  <c r="U155" i="7"/>
  <c r="U156" i="7"/>
  <c r="U157" i="7"/>
  <c r="U160" i="7"/>
  <c r="U158" i="7"/>
  <c r="U161" i="7"/>
  <c r="U162" i="7"/>
  <c r="U159" i="7"/>
  <c r="U164" i="7"/>
  <c r="U163" i="7"/>
  <c r="U165" i="7"/>
  <c r="U166" i="7"/>
  <c r="U170" i="7"/>
  <c r="U169" i="7"/>
  <c r="U167" i="7"/>
  <c r="U168" i="7"/>
  <c r="U171" i="7"/>
  <c r="U173" i="7"/>
  <c r="U172" i="7"/>
  <c r="U176" i="7"/>
  <c r="U174" i="7"/>
  <c r="U175" i="7"/>
  <c r="U179" i="7"/>
  <c r="U178" i="7"/>
  <c r="U180" i="7"/>
  <c r="U177" i="7"/>
  <c r="U181" i="7"/>
  <c r="U182" i="7"/>
  <c r="U183" i="7"/>
  <c r="U184" i="7"/>
  <c r="U186" i="7"/>
  <c r="U185" i="7"/>
  <c r="U188" i="7"/>
  <c r="U187" i="7"/>
  <c r="U189" i="7"/>
  <c r="U190" i="7"/>
  <c r="U192" i="7"/>
  <c r="U191" i="7"/>
  <c r="U193" i="7"/>
  <c r="U194" i="7"/>
  <c r="U199" i="7"/>
  <c r="U196" i="7"/>
  <c r="U197" i="7"/>
  <c r="U195" i="7"/>
  <c r="U198" i="7"/>
  <c r="U200" i="7"/>
  <c r="S201" i="7"/>
  <c r="S202" i="7" s="1"/>
  <c r="AL25" i="7" s="1"/>
  <c r="AL26" i="7" s="1"/>
  <c r="J200" i="6"/>
  <c r="K200" i="6" s="1"/>
  <c r="J197" i="1"/>
  <c r="K197" i="1" s="1"/>
  <c r="Y8" i="7" l="1"/>
  <c r="Y6" i="7"/>
  <c r="Y4" i="7"/>
  <c r="Y2" i="7"/>
  <c r="J201" i="6"/>
  <c r="K201" i="6" s="1"/>
  <c r="J198" i="1"/>
  <c r="K198" i="1"/>
  <c r="AF27" i="7" l="1"/>
  <c r="AL27" i="7"/>
  <c r="J202" i="6"/>
  <c r="K202" i="6" s="1"/>
  <c r="J199" i="1"/>
  <c r="K199" i="1" s="1"/>
  <c r="J203" i="6" l="1"/>
  <c r="K203" i="6" s="1"/>
  <c r="J200" i="1"/>
  <c r="K200" i="1" s="1"/>
  <c r="J204" i="6" l="1"/>
  <c r="K204" i="6" s="1"/>
  <c r="J201" i="1"/>
  <c r="K201" i="1" s="1"/>
  <c r="J205" i="6" l="1"/>
  <c r="K205" i="6" s="1"/>
  <c r="J202" i="1"/>
  <c r="J203" i="1" s="1"/>
  <c r="K202" i="1" l="1"/>
  <c r="J206" i="6"/>
  <c r="K206" i="6" s="1"/>
  <c r="K203" i="1"/>
  <c r="K204" i="1"/>
  <c r="J204" i="1"/>
  <c r="J207" i="6" l="1"/>
  <c r="K207" i="6" s="1"/>
  <c r="J205" i="1"/>
  <c r="K205" i="1"/>
  <c r="J208" i="6" l="1"/>
  <c r="K208" i="6" s="1"/>
  <c r="J206" i="1"/>
  <c r="K206" i="1"/>
  <c r="J209" i="6" l="1"/>
  <c r="K209" i="6" s="1"/>
  <c r="J207" i="1"/>
  <c r="K207" i="1"/>
  <c r="J210" i="6" l="1"/>
  <c r="K210" i="6" s="1"/>
  <c r="J208" i="1"/>
  <c r="K208" i="1"/>
  <c r="J211" i="6" l="1"/>
  <c r="K211" i="6" s="1"/>
  <c r="K209" i="1"/>
  <c r="J209" i="1"/>
  <c r="J212" i="6" l="1"/>
  <c r="K212" i="6" s="1"/>
  <c r="J210" i="1"/>
  <c r="K210" i="1" s="1"/>
  <c r="J213" i="6" l="1"/>
  <c r="K213" i="6" s="1"/>
  <c r="J211" i="1"/>
  <c r="K211" i="1" s="1"/>
  <c r="J214" i="6" l="1"/>
  <c r="K214" i="6" s="1"/>
  <c r="J212" i="1"/>
  <c r="J213" i="1" s="1"/>
  <c r="K212" i="1" l="1"/>
  <c r="J215" i="6"/>
  <c r="K215" i="6" s="1"/>
  <c r="K213" i="1"/>
  <c r="J214" i="1"/>
  <c r="K214" i="1" s="1"/>
  <c r="J216" i="6" l="1"/>
  <c r="K216" i="6" s="1"/>
  <c r="J215" i="1"/>
  <c r="K215" i="1" s="1"/>
  <c r="J217" i="6" l="1"/>
  <c r="K217" i="6" s="1"/>
  <c r="J216" i="1"/>
  <c r="K216" i="1" s="1"/>
  <c r="J218" i="6" l="1"/>
  <c r="K218" i="6" s="1"/>
  <c r="J217" i="1"/>
  <c r="K217" i="1"/>
  <c r="J219" i="6" l="1"/>
  <c r="K219" i="6" s="1"/>
  <c r="J218" i="1"/>
  <c r="K218" i="1" s="1"/>
  <c r="J220" i="6" l="1"/>
  <c r="K220" i="6" s="1"/>
  <c r="J219" i="1"/>
  <c r="K219" i="1"/>
  <c r="J221" i="6" l="1"/>
  <c r="K221" i="6" s="1"/>
  <c r="J220" i="1"/>
  <c r="K220" i="1" s="1"/>
  <c r="J222" i="6" l="1"/>
  <c r="K222" i="6"/>
  <c r="J221" i="1"/>
  <c r="K221" i="1" s="1"/>
  <c r="J223" i="6" l="1"/>
  <c r="K223" i="6" s="1"/>
  <c r="J222" i="1"/>
  <c r="K222" i="1"/>
  <c r="J224" i="6" l="1"/>
  <c r="K224" i="6" s="1"/>
  <c r="J223" i="1"/>
  <c r="K223" i="1" s="1"/>
  <c r="J225" i="6" l="1"/>
  <c r="K225" i="6" s="1"/>
  <c r="J224" i="1"/>
  <c r="K224" i="1" s="1"/>
  <c r="J226" i="6" l="1"/>
  <c r="K226" i="6" s="1"/>
  <c r="J225" i="1"/>
  <c r="K225" i="1"/>
  <c r="J227" i="6" l="1"/>
  <c r="K227" i="6" s="1"/>
  <c r="J226" i="1"/>
  <c r="K226" i="1" s="1"/>
  <c r="J228" i="6" l="1"/>
  <c r="K228" i="6" s="1"/>
  <c r="J227" i="1"/>
  <c r="K227" i="1" s="1"/>
  <c r="J229" i="6" l="1"/>
  <c r="K229" i="6" s="1"/>
  <c r="J228" i="1"/>
  <c r="K228" i="1" s="1"/>
  <c r="J230" i="6" l="1"/>
  <c r="K230" i="6" s="1"/>
  <c r="J229" i="1"/>
  <c r="K229" i="1" s="1"/>
  <c r="J231" i="6" l="1"/>
  <c r="K231" i="6" s="1"/>
  <c r="J230" i="1"/>
  <c r="K230" i="1" s="1"/>
  <c r="J232" i="6" l="1"/>
  <c r="K232" i="6" s="1"/>
  <c r="J231" i="1"/>
  <c r="K231" i="1"/>
  <c r="J233" i="6" l="1"/>
  <c r="K233" i="6" s="1"/>
  <c r="J232" i="1"/>
  <c r="K232" i="1" s="1"/>
  <c r="J234" i="6" l="1"/>
  <c r="K234" i="6" s="1"/>
  <c r="J233" i="1"/>
  <c r="K233" i="1" s="1"/>
  <c r="J235" i="6" l="1"/>
  <c r="K235" i="6" s="1"/>
  <c r="K234" i="1"/>
  <c r="J234" i="1"/>
  <c r="J236" i="6" l="1"/>
  <c r="K236" i="6" s="1"/>
  <c r="J235" i="1"/>
  <c r="K235" i="1" s="1"/>
  <c r="J237" i="6" l="1"/>
  <c r="K237" i="6" s="1"/>
  <c r="J236" i="1"/>
  <c r="K236" i="1" s="1"/>
  <c r="J238" i="6" l="1"/>
  <c r="K238" i="6" s="1"/>
  <c r="J237" i="1"/>
  <c r="K237" i="1" s="1"/>
  <c r="J239" i="6" l="1"/>
  <c r="K239" i="6" s="1"/>
  <c r="J238" i="1"/>
  <c r="K238" i="1" s="1"/>
  <c r="J240" i="6" l="1"/>
  <c r="K240" i="6" s="1"/>
  <c r="J239" i="1"/>
  <c r="K239" i="1" s="1"/>
  <c r="J241" i="6" l="1"/>
  <c r="K241" i="6" s="1"/>
  <c r="J240" i="1"/>
  <c r="K240" i="1" s="1"/>
  <c r="J242" i="6" l="1"/>
  <c r="K242" i="6" s="1"/>
  <c r="J241" i="1"/>
  <c r="K241" i="1" s="1"/>
  <c r="J243" i="6" l="1"/>
  <c r="K243" i="6" s="1"/>
  <c r="J242" i="1"/>
  <c r="K242" i="1" s="1"/>
  <c r="J244" i="6" l="1"/>
  <c r="K244" i="6" s="1"/>
  <c r="J243" i="1"/>
  <c r="K243" i="1" s="1"/>
  <c r="J245" i="6" l="1"/>
  <c r="K245" i="6" s="1"/>
  <c r="J244" i="1"/>
  <c r="K244" i="1"/>
  <c r="J246" i="6" l="1"/>
  <c r="K246" i="6" s="1"/>
  <c r="J245" i="1"/>
  <c r="K245" i="1" s="1"/>
  <c r="J247" i="6" l="1"/>
  <c r="K247" i="6" s="1"/>
  <c r="J246" i="1"/>
  <c r="K246" i="1" s="1"/>
  <c r="J248" i="6" l="1"/>
  <c r="K248" i="6" s="1"/>
  <c r="J247" i="1"/>
  <c r="K247" i="1"/>
  <c r="J249" i="6" l="1"/>
  <c r="K249" i="6" s="1"/>
  <c r="J248" i="1"/>
  <c r="K248" i="1"/>
  <c r="J250" i="6" l="1"/>
  <c r="K250" i="6" s="1"/>
  <c r="J249" i="1"/>
  <c r="K249" i="1" s="1"/>
  <c r="J251" i="6" l="1"/>
  <c r="K251" i="6" s="1"/>
  <c r="K250" i="1"/>
  <c r="J250" i="1"/>
  <c r="J252" i="6" l="1"/>
  <c r="K252" i="6" s="1"/>
  <c r="J251" i="1"/>
  <c r="K251" i="1"/>
  <c r="J253" i="6" l="1"/>
  <c r="K253" i="6" s="1"/>
  <c r="J252" i="1"/>
  <c r="K252" i="1" s="1"/>
  <c r="J254" i="6" l="1"/>
  <c r="K254" i="6" s="1"/>
  <c r="J253" i="1"/>
  <c r="K253" i="1" s="1"/>
  <c r="J255" i="6" l="1"/>
  <c r="K255" i="6" s="1"/>
  <c r="J254" i="1"/>
  <c r="K254" i="1" s="1"/>
  <c r="J256" i="6" l="1"/>
  <c r="K256" i="6" s="1"/>
  <c r="J255" i="1"/>
  <c r="K255" i="1"/>
  <c r="J257" i="6" l="1"/>
  <c r="K257" i="6" s="1"/>
  <c r="J256" i="1"/>
  <c r="K256" i="1"/>
  <c r="J258" i="6" l="1"/>
  <c r="K258" i="6" s="1"/>
  <c r="J257" i="1"/>
  <c r="K257" i="1"/>
  <c r="J259" i="6" l="1"/>
  <c r="K259" i="6" s="1"/>
  <c r="J258" i="1"/>
  <c r="K258" i="1" s="1"/>
  <c r="J260" i="6" l="1"/>
  <c r="K260" i="6" s="1"/>
  <c r="J259" i="1"/>
  <c r="K259" i="1"/>
  <c r="J261" i="6" l="1"/>
  <c r="K261" i="6" s="1"/>
  <c r="K260" i="1"/>
  <c r="J260" i="1"/>
  <c r="J262" i="6" l="1"/>
  <c r="K262" i="6" s="1"/>
  <c r="J261" i="1"/>
  <c r="K261" i="1" s="1"/>
  <c r="J263" i="6" l="1"/>
  <c r="K263" i="6" s="1"/>
  <c r="J262" i="1"/>
  <c r="K262" i="1" s="1"/>
  <c r="J264" i="6" l="1"/>
  <c r="K264" i="6" s="1"/>
  <c r="J263" i="1"/>
  <c r="K263" i="1" s="1"/>
  <c r="J265" i="6" l="1"/>
  <c r="K265" i="6" s="1"/>
  <c r="J264" i="1"/>
  <c r="K264" i="1" s="1"/>
  <c r="J266" i="6" l="1"/>
  <c r="K266" i="6" s="1"/>
  <c r="J265" i="1"/>
  <c r="K265" i="1"/>
  <c r="J267" i="6" l="1"/>
  <c r="K267" i="6" s="1"/>
  <c r="J266" i="1"/>
  <c r="K266" i="1" s="1"/>
  <c r="J268" i="6" l="1"/>
  <c r="K268" i="6" s="1"/>
  <c r="J267" i="1"/>
  <c r="K267" i="1" s="1"/>
  <c r="J269" i="6" l="1"/>
  <c r="K269" i="6" s="1"/>
  <c r="J268" i="1"/>
  <c r="K268" i="1"/>
  <c r="J270" i="6" l="1"/>
  <c r="K270" i="6" s="1"/>
  <c r="J269" i="1"/>
  <c r="K269" i="1" s="1"/>
  <c r="J271" i="6" l="1"/>
  <c r="K271" i="6" s="1"/>
  <c r="J270" i="1"/>
  <c r="K270" i="1" s="1"/>
  <c r="J272" i="6" l="1"/>
  <c r="K272" i="6" s="1"/>
  <c r="J271" i="1"/>
  <c r="K271" i="1"/>
  <c r="J273" i="6" l="1"/>
  <c r="K273" i="6" s="1"/>
  <c r="J272" i="1"/>
  <c r="K272" i="1" s="1"/>
  <c r="J274" i="6" l="1"/>
  <c r="K274" i="6" s="1"/>
  <c r="J273" i="1"/>
  <c r="K273" i="1"/>
  <c r="J275" i="6" l="1"/>
  <c r="K275" i="6" s="1"/>
  <c r="J274" i="1"/>
  <c r="K274" i="1" s="1"/>
  <c r="J276" i="6" l="1"/>
  <c r="K276" i="6" s="1"/>
  <c r="J275" i="1"/>
  <c r="K275" i="1" s="1"/>
  <c r="J277" i="6" l="1"/>
  <c r="K277" i="6" s="1"/>
  <c r="J276" i="1"/>
  <c r="K276" i="1" s="1"/>
  <c r="J278" i="6" l="1"/>
  <c r="K278" i="6" s="1"/>
  <c r="J277" i="1"/>
  <c r="K277" i="1" s="1"/>
  <c r="J279" i="6" l="1"/>
  <c r="K279" i="6" s="1"/>
  <c r="J278" i="1"/>
  <c r="K278" i="1" s="1"/>
  <c r="J280" i="6" l="1"/>
  <c r="K280" i="6" s="1"/>
  <c r="J279" i="1"/>
  <c r="K279" i="1" s="1"/>
  <c r="J281" i="6" l="1"/>
  <c r="K281" i="6" s="1"/>
  <c r="J280" i="1"/>
  <c r="K280" i="1"/>
  <c r="J282" i="6" l="1"/>
  <c r="K282" i="6" s="1"/>
  <c r="J281" i="1"/>
  <c r="K281" i="1"/>
  <c r="J283" i="6" l="1"/>
  <c r="K283" i="6" s="1"/>
  <c r="J282" i="1"/>
  <c r="K282" i="1" s="1"/>
  <c r="J284" i="6" l="1"/>
  <c r="K284" i="6" s="1"/>
  <c r="J283" i="1"/>
  <c r="K283" i="1" s="1"/>
  <c r="J285" i="6" l="1"/>
  <c r="K285" i="6" s="1"/>
  <c r="J284" i="1"/>
  <c r="K284" i="1" s="1"/>
  <c r="J286" i="6" l="1"/>
  <c r="K286" i="6" s="1"/>
  <c r="J285" i="1"/>
  <c r="K285" i="1" s="1"/>
  <c r="J287" i="6" l="1"/>
  <c r="K287" i="6" s="1"/>
  <c r="J286" i="1"/>
  <c r="K286" i="1" s="1"/>
  <c r="J288" i="6" l="1"/>
  <c r="K288" i="6" s="1"/>
  <c r="K287" i="1"/>
  <c r="J287" i="1"/>
  <c r="J289" i="6" l="1"/>
  <c r="K289" i="6" s="1"/>
  <c r="J288" i="1"/>
  <c r="K288" i="1" s="1"/>
  <c r="J290" i="6" l="1"/>
  <c r="K290" i="6" s="1"/>
  <c r="J289" i="1"/>
  <c r="K289" i="1" s="1"/>
  <c r="J291" i="6" l="1"/>
  <c r="K291" i="6" s="1"/>
  <c r="J290" i="1"/>
  <c r="K290" i="1"/>
  <c r="J292" i="6" l="1"/>
  <c r="K292" i="6" s="1"/>
  <c r="J291" i="1"/>
  <c r="K291" i="1" s="1"/>
  <c r="J293" i="6" l="1"/>
  <c r="K293" i="6"/>
  <c r="J292" i="1"/>
  <c r="K292" i="1" s="1"/>
  <c r="J294" i="6" l="1"/>
  <c r="K294" i="6" s="1"/>
  <c r="J293" i="1"/>
  <c r="K293" i="1"/>
  <c r="J295" i="6" l="1"/>
  <c r="K295" i="6" s="1"/>
  <c r="J294" i="1"/>
  <c r="K294" i="1" s="1"/>
  <c r="J296" i="6" l="1"/>
  <c r="K296" i="6" s="1"/>
  <c r="J295" i="1"/>
  <c r="K295" i="1"/>
  <c r="J297" i="6" l="1"/>
  <c r="K297" i="6" s="1"/>
  <c r="J296" i="1"/>
  <c r="K296" i="1"/>
  <c r="J298" i="6" l="1"/>
  <c r="K298" i="6" s="1"/>
  <c r="J297" i="1"/>
  <c r="K297" i="1"/>
  <c r="J299" i="6" l="1"/>
  <c r="K299" i="6"/>
  <c r="J298" i="1"/>
  <c r="K298" i="1" s="1"/>
  <c r="J300" i="6" l="1"/>
  <c r="K300" i="6" s="1"/>
  <c r="J299" i="1"/>
  <c r="K299" i="1" s="1"/>
  <c r="J301" i="6" l="1"/>
  <c r="K301" i="6" s="1"/>
  <c r="J300" i="1"/>
  <c r="K300" i="1" s="1"/>
  <c r="J302" i="6" l="1"/>
  <c r="K302" i="6" s="1"/>
  <c r="J301" i="1"/>
  <c r="K301" i="1"/>
  <c r="J303" i="6" l="1"/>
  <c r="K303" i="6" s="1"/>
  <c r="J302" i="1"/>
  <c r="K302" i="1" s="1"/>
  <c r="J304" i="6" l="1"/>
  <c r="K304" i="6" s="1"/>
  <c r="J303" i="1"/>
  <c r="K303" i="1" s="1"/>
  <c r="J305" i="6" l="1"/>
  <c r="K305" i="6" s="1"/>
  <c r="J304" i="1"/>
  <c r="K304" i="1" s="1"/>
  <c r="J306" i="6" l="1"/>
  <c r="K306" i="6" s="1"/>
  <c r="J305" i="1"/>
  <c r="K305" i="1" s="1"/>
  <c r="J307" i="6" l="1"/>
  <c r="K307" i="6" s="1"/>
  <c r="J306" i="1"/>
  <c r="K306" i="1" s="1"/>
  <c r="J308" i="6" l="1"/>
  <c r="K308" i="6" s="1"/>
  <c r="J307" i="1"/>
  <c r="K307" i="1" s="1"/>
  <c r="J309" i="6" l="1"/>
  <c r="K309" i="6" s="1"/>
  <c r="K308" i="1"/>
  <c r="J308" i="1"/>
  <c r="J310" i="6" l="1"/>
  <c r="K310" i="6" s="1"/>
  <c r="J309" i="1"/>
  <c r="K309" i="1" s="1"/>
  <c r="J311" i="6" l="1"/>
  <c r="K311" i="6" s="1"/>
  <c r="J310" i="1"/>
  <c r="K310" i="1"/>
  <c r="J312" i="6" l="1"/>
  <c r="K312" i="6" s="1"/>
  <c r="K311" i="1"/>
  <c r="J311" i="1"/>
  <c r="J313" i="6" l="1"/>
  <c r="K313" i="6" s="1"/>
  <c r="J312" i="1"/>
  <c r="K312" i="1"/>
  <c r="J314" i="6" l="1"/>
  <c r="K314" i="6" s="1"/>
  <c r="J313" i="1"/>
  <c r="K313" i="1" s="1"/>
  <c r="J315" i="6" l="1"/>
  <c r="K315" i="6" s="1"/>
  <c r="J314" i="1"/>
  <c r="K314" i="1" s="1"/>
  <c r="J316" i="6" l="1"/>
  <c r="K316" i="6" s="1"/>
  <c r="J315" i="1"/>
  <c r="K315" i="1" s="1"/>
  <c r="J317" i="6" l="1"/>
  <c r="K317" i="6" s="1"/>
  <c r="J316" i="1"/>
  <c r="K316" i="1"/>
  <c r="J318" i="6" l="1"/>
  <c r="K318" i="6" s="1"/>
  <c r="J317" i="1"/>
  <c r="K317" i="1" s="1"/>
  <c r="J319" i="6" l="1"/>
  <c r="K319" i="6" s="1"/>
  <c r="J318" i="1"/>
  <c r="K318" i="1" s="1"/>
  <c r="J320" i="6" l="1"/>
  <c r="K320" i="6" s="1"/>
  <c r="J319" i="1"/>
  <c r="K319" i="1" s="1"/>
  <c r="J321" i="6" l="1"/>
  <c r="K321" i="6" s="1"/>
  <c r="J320" i="1"/>
  <c r="K320" i="1"/>
  <c r="J322" i="6" l="1"/>
  <c r="K322" i="6" s="1"/>
  <c r="J321" i="1"/>
  <c r="K321" i="1" s="1"/>
  <c r="J323" i="6" l="1"/>
  <c r="K323" i="6" s="1"/>
  <c r="J322" i="1"/>
  <c r="K322" i="1" s="1"/>
  <c r="J324" i="6" l="1"/>
  <c r="K324" i="6" s="1"/>
  <c r="J323" i="1"/>
  <c r="K323" i="1" s="1"/>
  <c r="J325" i="6" l="1"/>
  <c r="K325" i="6" s="1"/>
  <c r="J324" i="1"/>
  <c r="K324" i="1" s="1"/>
  <c r="J326" i="6" l="1"/>
  <c r="K326" i="6" s="1"/>
  <c r="J325" i="1"/>
  <c r="K325" i="1"/>
  <c r="J327" i="6" l="1"/>
  <c r="K327" i="6" s="1"/>
  <c r="J326" i="1"/>
  <c r="K326" i="1" s="1"/>
  <c r="J328" i="6" l="1"/>
  <c r="K328" i="6" s="1"/>
  <c r="J327" i="1"/>
  <c r="K327" i="1" s="1"/>
  <c r="J329" i="6" l="1"/>
  <c r="K329" i="6" s="1"/>
  <c r="J328" i="1"/>
  <c r="K328" i="1" s="1"/>
  <c r="J330" i="6" l="1"/>
  <c r="K330" i="6" s="1"/>
  <c r="J329" i="1"/>
  <c r="K329" i="1" s="1"/>
  <c r="J331" i="6" l="1"/>
  <c r="K331" i="6" s="1"/>
  <c r="J330" i="1"/>
  <c r="K330" i="1" s="1"/>
  <c r="J332" i="6" l="1"/>
  <c r="K332" i="6" s="1"/>
  <c r="J331" i="1"/>
  <c r="K331" i="1" s="1"/>
  <c r="J333" i="6" l="1"/>
  <c r="K333" i="6" s="1"/>
  <c r="J332" i="1"/>
  <c r="K332" i="1" s="1"/>
  <c r="J334" i="6" l="1"/>
  <c r="K334" i="6" s="1"/>
  <c r="J333" i="1"/>
  <c r="K333" i="1"/>
  <c r="J335" i="6" l="1"/>
  <c r="K335" i="6" s="1"/>
  <c r="J334" i="1"/>
  <c r="K334" i="1" s="1"/>
  <c r="J336" i="6" l="1"/>
  <c r="K336" i="6" s="1"/>
  <c r="J335" i="1"/>
  <c r="K335" i="1" s="1"/>
  <c r="J337" i="6" l="1"/>
  <c r="K337" i="6" s="1"/>
  <c r="J336" i="1"/>
  <c r="K336" i="1"/>
  <c r="J338" i="6" l="1"/>
  <c r="K338" i="6" s="1"/>
  <c r="J337" i="1"/>
  <c r="K337" i="1" s="1"/>
  <c r="J339" i="6" l="1"/>
  <c r="K339" i="6" s="1"/>
  <c r="J338" i="1"/>
  <c r="K338" i="1" s="1"/>
  <c r="J340" i="6" l="1"/>
  <c r="K340" i="6" s="1"/>
  <c r="J339" i="1"/>
  <c r="K339" i="1" s="1"/>
  <c r="J341" i="6" l="1"/>
  <c r="K341" i="6" s="1"/>
  <c r="J340" i="1"/>
  <c r="K340" i="1"/>
  <c r="J342" i="6" l="1"/>
  <c r="K342" i="6" s="1"/>
  <c r="J341" i="1"/>
  <c r="K341" i="1"/>
  <c r="J343" i="6" l="1"/>
  <c r="K343" i="6"/>
  <c r="J342" i="1"/>
  <c r="K342" i="1" s="1"/>
  <c r="J344" i="6" l="1"/>
  <c r="K344" i="6" s="1"/>
  <c r="J343" i="1"/>
  <c r="K343" i="1"/>
  <c r="J345" i="6" l="1"/>
  <c r="K345" i="6" s="1"/>
  <c r="K344" i="1"/>
  <c r="J344" i="1"/>
  <c r="J346" i="6" l="1"/>
  <c r="K346" i="6" s="1"/>
  <c r="J345" i="1"/>
  <c r="K345" i="1" s="1"/>
  <c r="J347" i="6" l="1"/>
  <c r="K347" i="6" s="1"/>
  <c r="J346" i="1"/>
  <c r="K346" i="1" s="1"/>
  <c r="J348" i="6" l="1"/>
  <c r="K348" i="6" s="1"/>
  <c r="J347" i="1"/>
  <c r="K347" i="1" s="1"/>
  <c r="J349" i="6" l="1"/>
  <c r="K349" i="6" s="1"/>
  <c r="J348" i="1"/>
  <c r="K348" i="1" s="1"/>
  <c r="J350" i="6" l="1"/>
  <c r="K350" i="6" s="1"/>
  <c r="J349" i="1"/>
  <c r="K349" i="1" s="1"/>
  <c r="J351" i="6" l="1"/>
  <c r="K351" i="6" s="1"/>
  <c r="J350" i="1"/>
  <c r="K350" i="1" s="1"/>
  <c r="J352" i="6" l="1"/>
  <c r="K352" i="6" s="1"/>
  <c r="J351" i="1"/>
  <c r="K351" i="1" s="1"/>
  <c r="J353" i="6" l="1"/>
  <c r="K353" i="6" s="1"/>
  <c r="J352" i="1"/>
  <c r="K352" i="1" s="1"/>
  <c r="J354" i="6" l="1"/>
  <c r="K354" i="6" s="1"/>
  <c r="J353" i="1"/>
  <c r="K353" i="1" s="1"/>
  <c r="J355" i="6" l="1"/>
  <c r="K355" i="6" s="1"/>
  <c r="J354" i="1"/>
  <c r="K354" i="1"/>
  <c r="J356" i="6" l="1"/>
  <c r="K356" i="6" s="1"/>
  <c r="J355" i="1"/>
  <c r="K355" i="1" s="1"/>
  <c r="J357" i="6" l="1"/>
  <c r="K357" i="6" s="1"/>
  <c r="J356" i="1"/>
  <c r="K356" i="1" s="1"/>
  <c r="J358" i="6" l="1"/>
  <c r="K358" i="6" s="1"/>
  <c r="K357" i="1"/>
  <c r="J357" i="1"/>
  <c r="J359" i="6" l="1"/>
  <c r="K359" i="6" s="1"/>
  <c r="J358" i="1"/>
  <c r="K358" i="1" s="1"/>
  <c r="J360" i="6" l="1"/>
  <c r="K360" i="6" s="1"/>
  <c r="J359" i="1"/>
  <c r="K359" i="1" s="1"/>
  <c r="J361" i="6" l="1"/>
  <c r="K361" i="6" s="1"/>
  <c r="J360" i="1"/>
  <c r="K360" i="1" s="1"/>
  <c r="J362" i="6" l="1"/>
  <c r="K362" i="6" s="1"/>
  <c r="J361" i="1"/>
  <c r="K361" i="1" s="1"/>
  <c r="J363" i="6" l="1"/>
  <c r="K363" i="6" s="1"/>
  <c r="J362" i="1"/>
  <c r="K362" i="1" s="1"/>
  <c r="J364" i="6" l="1"/>
  <c r="K364" i="6" s="1"/>
  <c r="J363" i="1"/>
  <c r="K363" i="1" s="1"/>
  <c r="J365" i="6" l="1"/>
  <c r="K365" i="6" s="1"/>
  <c r="K364" i="1"/>
  <c r="J364" i="1"/>
  <c r="J366" i="6" l="1"/>
  <c r="K366" i="6" s="1"/>
  <c r="J365" i="1"/>
  <c r="K365" i="1"/>
  <c r="J367" i="6" l="1"/>
  <c r="K367" i="6" s="1"/>
  <c r="J366" i="1"/>
  <c r="K366" i="1" s="1"/>
  <c r="J368" i="6" l="1"/>
  <c r="K368" i="6"/>
  <c r="J367" i="1"/>
  <c r="K367" i="1" s="1"/>
  <c r="J369" i="6" l="1"/>
  <c r="K369" i="6"/>
  <c r="J368" i="1"/>
  <c r="K368" i="1" s="1"/>
  <c r="J370" i="6" l="1"/>
  <c r="K370" i="6" s="1"/>
  <c r="J369" i="1"/>
  <c r="K369" i="1"/>
  <c r="J371" i="6" l="1"/>
  <c r="K371" i="6" s="1"/>
  <c r="J370" i="1"/>
  <c r="K370" i="1" s="1"/>
  <c r="J372" i="6" l="1"/>
  <c r="K372" i="6" s="1"/>
  <c r="J371" i="1"/>
  <c r="K371" i="1" s="1"/>
  <c r="J373" i="6" l="1"/>
  <c r="K373" i="6" s="1"/>
  <c r="J372" i="1"/>
  <c r="K372" i="1"/>
  <c r="J374" i="6" l="1"/>
  <c r="K374" i="6" s="1"/>
  <c r="J373" i="1"/>
  <c r="K373" i="1"/>
  <c r="J375" i="6" l="1"/>
  <c r="K375" i="6" s="1"/>
  <c r="J374" i="1"/>
  <c r="K374" i="1"/>
  <c r="J376" i="6" l="1"/>
  <c r="K376" i="6" s="1"/>
  <c r="J375" i="1"/>
  <c r="K375" i="1" s="1"/>
  <c r="J377" i="6" l="1"/>
  <c r="K377" i="6" s="1"/>
  <c r="J376" i="1"/>
  <c r="K376" i="1" s="1"/>
  <c r="J378" i="6" l="1"/>
  <c r="K378" i="6" s="1"/>
  <c r="J377" i="1"/>
  <c r="K377" i="1" s="1"/>
  <c r="J379" i="6" l="1"/>
  <c r="K379" i="6" s="1"/>
  <c r="J378" i="1"/>
  <c r="K378" i="1" s="1"/>
  <c r="J380" i="6" l="1"/>
  <c r="K380" i="6" s="1"/>
  <c r="J379" i="1"/>
  <c r="K379" i="1"/>
  <c r="J381" i="6" l="1"/>
  <c r="K381" i="6" s="1"/>
  <c r="J380" i="1"/>
  <c r="K380" i="1"/>
  <c r="J382" i="6" l="1"/>
  <c r="K382" i="6" s="1"/>
  <c r="J381" i="1"/>
  <c r="K381" i="1" s="1"/>
  <c r="J383" i="6" l="1"/>
  <c r="K383" i="6" s="1"/>
  <c r="J382" i="1"/>
  <c r="K382" i="1" s="1"/>
  <c r="J384" i="6" l="1"/>
  <c r="K384" i="6" s="1"/>
  <c r="J383" i="1"/>
  <c r="K383" i="1" s="1"/>
  <c r="J385" i="6" l="1"/>
  <c r="K385" i="6" s="1"/>
  <c r="J384" i="1"/>
  <c r="K384" i="1" s="1"/>
  <c r="J386" i="6" l="1"/>
  <c r="K386" i="6" s="1"/>
  <c r="J385" i="1"/>
  <c r="K385" i="1" s="1"/>
  <c r="J387" i="6" l="1"/>
  <c r="K387" i="6" s="1"/>
  <c r="J386" i="1"/>
  <c r="K386" i="1" s="1"/>
  <c r="J388" i="6" l="1"/>
  <c r="K388" i="6" s="1"/>
  <c r="J387" i="1"/>
  <c r="K387" i="1" s="1"/>
  <c r="J389" i="6" l="1"/>
  <c r="K389" i="6" s="1"/>
  <c r="J388" i="1"/>
  <c r="K388" i="1" s="1"/>
  <c r="J390" i="6" l="1"/>
  <c r="K390" i="6" s="1"/>
  <c r="J389" i="1"/>
  <c r="K389" i="1" s="1"/>
  <c r="J391" i="6" l="1"/>
  <c r="K391" i="6" s="1"/>
  <c r="J390" i="1"/>
  <c r="K390" i="1" s="1"/>
  <c r="J392" i="6" l="1"/>
  <c r="K392" i="6" s="1"/>
  <c r="J391" i="1"/>
  <c r="K391" i="1" s="1"/>
  <c r="J393" i="6" l="1"/>
  <c r="K393" i="6" s="1"/>
  <c r="J392" i="1"/>
  <c r="K392" i="1" s="1"/>
  <c r="J394" i="6" l="1"/>
  <c r="K394" i="6" s="1"/>
  <c r="J393" i="1"/>
  <c r="K393" i="1"/>
  <c r="J395" i="6" l="1"/>
  <c r="K395" i="6" s="1"/>
  <c r="J394" i="1"/>
  <c r="K394" i="1"/>
  <c r="J396" i="6" l="1"/>
  <c r="K396" i="6" s="1"/>
  <c r="J395" i="1"/>
  <c r="K395" i="1" s="1"/>
  <c r="J397" i="6" l="1"/>
  <c r="K397" i="6" s="1"/>
  <c r="J396" i="1"/>
  <c r="K396" i="1"/>
  <c r="J398" i="6" l="1"/>
  <c r="K398" i="6" s="1"/>
  <c r="J397" i="1"/>
  <c r="K397" i="1" s="1"/>
  <c r="K202" i="7" l="1"/>
  <c r="AF25" i="7" s="1"/>
  <c r="AF26" i="7" s="1"/>
  <c r="J399" i="6"/>
  <c r="K399" i="6"/>
  <c r="J398" i="1"/>
  <c r="K398" i="1" s="1"/>
  <c r="J400" i="6" l="1"/>
  <c r="K400" i="6" s="1"/>
  <c r="J399" i="1"/>
  <c r="K399" i="1" s="1"/>
  <c r="J401" i="6" l="1"/>
  <c r="K401" i="6"/>
  <c r="K402" i="6" s="1"/>
  <c r="S25" i="6" s="1"/>
  <c r="S26" i="6" s="1"/>
  <c r="J400" i="1"/>
  <c r="K400" i="1"/>
  <c r="J401" i="1" l="1"/>
  <c r="K401" i="1"/>
  <c r="K402" i="1" l="1"/>
  <c r="S25" i="1" s="1"/>
  <c r="S2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<sst xmlns="http://schemas.openxmlformats.org/spreadsheetml/2006/main" count="1580" uniqueCount="879">
  <si>
    <t>Serial Data</t>
  </si>
  <si>
    <t>colon 1</t>
  </si>
  <si>
    <t>colon 2</t>
  </si>
  <si>
    <t>colon 3</t>
  </si>
  <si>
    <t>colon 4</t>
  </si>
  <si>
    <t>Voltage</t>
  </si>
  <si>
    <t>Start time</t>
  </si>
  <si>
    <t>End time</t>
  </si>
  <si>
    <t>Max</t>
  </si>
  <si>
    <t>Min</t>
  </si>
  <si>
    <t>Peak to peak</t>
  </si>
  <si>
    <t>Threshold</t>
  </si>
  <si>
    <t>Rising Through Threshold</t>
  </si>
  <si>
    <t>Last</t>
  </si>
  <si>
    <t>Period</t>
  </si>
  <si>
    <t>Total</t>
  </si>
  <si>
    <t>Frequency</t>
  </si>
  <si>
    <t>Average</t>
  </si>
  <si>
    <t>Start:25192:3.51:</t>
  </si>
  <si>
    <t>Start:40536:3.71:</t>
  </si>
  <si>
    <t>Start:8:4.18:</t>
  </si>
  <si>
    <t>Start:216:4.09:</t>
  </si>
  <si>
    <t>Start:328:3.92:</t>
  </si>
  <si>
    <t>Start:440:3.68:</t>
  </si>
  <si>
    <t>Start:552:3.39:</t>
  </si>
  <si>
    <t>Start:664:3.06:</t>
  </si>
  <si>
    <t>Start:776:2.71:</t>
  </si>
  <si>
    <t>Start:888:2.34:</t>
  </si>
  <si>
    <t>Start:1000:1.97:</t>
  </si>
  <si>
    <t>Start:1112:1.63:</t>
  </si>
  <si>
    <t>Start:1224:1.32:</t>
  </si>
  <si>
    <t>Start:1336:1.09:</t>
  </si>
  <si>
    <t>Start:1448:0.92:</t>
  </si>
  <si>
    <t>Start:1560:0.84:</t>
  </si>
  <si>
    <t>Start:1672:0.86:</t>
  </si>
  <si>
    <t>Start:1784:0.95:</t>
  </si>
  <si>
    <t>Start:1896:1.15:</t>
  </si>
  <si>
    <t>Start:2008:1.42:</t>
  </si>
  <si>
    <t>Start:2120:1.76:</t>
  </si>
  <si>
    <t>Start:2232:2.15:</t>
  </si>
  <si>
    <t>Start:2344:2.55:</t>
  </si>
  <si>
    <t>Start:2456:2.95:</t>
  </si>
  <si>
    <t>Start:2568:3.33:</t>
  </si>
  <si>
    <t>Start:2680:3.66:</t>
  </si>
  <si>
    <t>Start:2792:3.91:</t>
  </si>
  <si>
    <t>Start:2904:4.09:</t>
  </si>
  <si>
    <t>Start:3016:4.18:</t>
  </si>
  <si>
    <t>Start:3128:4.20:</t>
  </si>
  <si>
    <t>Start:3240:4.15:</t>
  </si>
  <si>
    <t>Start:3352:4.02:</t>
  </si>
  <si>
    <t>Start:3464:3.82:</t>
  </si>
  <si>
    <t>Start:3576:3.56:</t>
  </si>
  <si>
    <t>Start:3688:3.25:</t>
  </si>
  <si>
    <t>Start:3800:2.91:</t>
  </si>
  <si>
    <t>Start:3912:2.54:</t>
  </si>
  <si>
    <t>Start:4024:2.17:</t>
  </si>
  <si>
    <t>Start:4136:1.81:</t>
  </si>
  <si>
    <t>Start:4248:1.49:</t>
  </si>
  <si>
    <t>Start:4360:1.21:</t>
  </si>
  <si>
    <t>Start:4472:1.00:</t>
  </si>
  <si>
    <t>Start:4584:0.87:</t>
  </si>
  <si>
    <t>Start:4696:0.83:</t>
  </si>
  <si>
    <t>Start:4808:0.88:</t>
  </si>
  <si>
    <t>Start:4920:1.03:</t>
  </si>
  <si>
    <t>Start:5032:1.26:</t>
  </si>
  <si>
    <t>Start:5144:1.57:</t>
  </si>
  <si>
    <t>Start:5256:1.94:</t>
  </si>
  <si>
    <t>Start:5368:2.33:</t>
  </si>
  <si>
    <t>Start:5480:2.73:</t>
  </si>
  <si>
    <t>Start:5592:3.13:</t>
  </si>
  <si>
    <t>Start:5704:3.48:</t>
  </si>
  <si>
    <t>Start:5816:3.78:</t>
  </si>
  <si>
    <t>Start:5928:4.01:</t>
  </si>
  <si>
    <t>Start:6040:4.14:</t>
  </si>
  <si>
    <t>Start:6152:4.20:</t>
  </si>
  <si>
    <t>Start:6264:4.19:</t>
  </si>
  <si>
    <t>Start:6376:4.10:</t>
  </si>
  <si>
    <t>Start:6488:3.94:</t>
  </si>
  <si>
    <t>Start:6600:3.71:</t>
  </si>
  <si>
    <t>Start:6712:3.43:</t>
  </si>
  <si>
    <t>Start:6824:3.10:</t>
  </si>
  <si>
    <t>Start:6936:2.74:</t>
  </si>
  <si>
    <t>Start:7048:2.38:</t>
  </si>
  <si>
    <t>Start:7160:2.01:</t>
  </si>
  <si>
    <t>Start:7272:1.66:</t>
  </si>
  <si>
    <t>Start:7384:1.35:</t>
  </si>
  <si>
    <t>Start:7496:1.10:</t>
  </si>
  <si>
    <t>Start:7608:0.93:</t>
  </si>
  <si>
    <t>Start:7720:0.84:</t>
  </si>
  <si>
    <t>Start:7832:0.85:</t>
  </si>
  <si>
    <t>Start:7944:0.94:</t>
  </si>
  <si>
    <t>Start:8056:1.12:</t>
  </si>
  <si>
    <t>Start:8168:1.39:</t>
  </si>
  <si>
    <t>Start:8280:1.73:</t>
  </si>
  <si>
    <t>Start:8392:2.11:</t>
  </si>
  <si>
    <t>Start:8504:2.51:</t>
  </si>
  <si>
    <t>Start:8616:2.91:</t>
  </si>
  <si>
    <t>Start:8728:3.30:</t>
  </si>
  <si>
    <t>Start:8840:3.63:</t>
  </si>
  <si>
    <t>Start:8952:3.90:</t>
  </si>
  <si>
    <t>Start:9064:4.09:</t>
  </si>
  <si>
    <t>Start:9176:4.19:</t>
  </si>
  <si>
    <t>Start:9288:4.21:</t>
  </si>
  <si>
    <t>Start:9400:4.16:</t>
  </si>
  <si>
    <t>Start:9512:4.04:</t>
  </si>
  <si>
    <t>Start:9624:3.85:</t>
  </si>
  <si>
    <t>Start:9736:3.59:</t>
  </si>
  <si>
    <t>Start:9848:3.28:</t>
  </si>
  <si>
    <t>Start:9960:2.94:</t>
  </si>
  <si>
    <t>Start:10072:2.58:</t>
  </si>
  <si>
    <t>Start:10184:2.21:</t>
  </si>
  <si>
    <t>Start:10296:1.85:</t>
  </si>
  <si>
    <t>Start:10408:1.52:</t>
  </si>
  <si>
    <t>Start:10520:1.23:</t>
  </si>
  <si>
    <t>Start:10632:1.02:</t>
  </si>
  <si>
    <t>Start:10744:0.87:</t>
  </si>
  <si>
    <t>Start:10856:0.83:</t>
  </si>
  <si>
    <t>Start:10968:0.88:</t>
  </si>
  <si>
    <t>Start:11080:1.02:</t>
  </si>
  <si>
    <t>Start:11192:1.24:</t>
  </si>
  <si>
    <t>Start:11304:1.54:</t>
  </si>
  <si>
    <t>Start:11416:1.90:</t>
  </si>
  <si>
    <t>Start:11528:2.29:</t>
  </si>
  <si>
    <t>Start:11640:2.70:</t>
  </si>
  <si>
    <t>Start:11752:3.09:</t>
  </si>
  <si>
    <t>Start:11864:3.46:</t>
  </si>
  <si>
    <t>Start:11976:3.76:</t>
  </si>
  <si>
    <t>Start:12088:3.99:</t>
  </si>
  <si>
    <t>Start:12200:4.14:</t>
  </si>
  <si>
    <t>Start:12312:4.20:</t>
  </si>
  <si>
    <t>Start:12424:4.19:</t>
  </si>
  <si>
    <t>Start:12536:4.12:</t>
  </si>
  <si>
    <t>Start:12648:3.96:</t>
  </si>
  <si>
    <t>Start:12760:3.73:</t>
  </si>
  <si>
    <t>Start:12872:3.46:</t>
  </si>
  <si>
    <t>Start:12984:3.13:</t>
  </si>
  <si>
    <t>Start:13096:2.78:</t>
  </si>
  <si>
    <t>Start:13208:2.41:</t>
  </si>
  <si>
    <t>Start:13320:2.04:</t>
  </si>
  <si>
    <t>Start:13432:1.69:</t>
  </si>
  <si>
    <t>Start:13544:1.38:</t>
  </si>
  <si>
    <t>Start:13656:1.13:</t>
  </si>
  <si>
    <t>Start:13768:0.94:</t>
  </si>
  <si>
    <t>Start:13880:0.85:</t>
  </si>
  <si>
    <t>Start:13992:0.85:</t>
  </si>
  <si>
    <t>Start:14104:0.93:</t>
  </si>
  <si>
    <t>Start:14216:1.10:</t>
  </si>
  <si>
    <t>Start:14328:1.36:</t>
  </si>
  <si>
    <t>Start:14440:1.70:</t>
  </si>
  <si>
    <t>Start:14552:2.08:</t>
  </si>
  <si>
    <t>Start:14664:2.47:</t>
  </si>
  <si>
    <t>Start:14776:2.88:</t>
  </si>
  <si>
    <t>Start:14888:3.26:</t>
  </si>
  <si>
    <t>Start:15000:3.60:</t>
  </si>
  <si>
    <t>Start:15112:3.87:</t>
  </si>
  <si>
    <t>Start:15224:4.07:</t>
  </si>
  <si>
    <t>Start:15336:4.17:</t>
  </si>
  <si>
    <t>Start:15448:4.21:</t>
  </si>
  <si>
    <t>Start:15560:4.16:</t>
  </si>
  <si>
    <t>Start:15672:4.05:</t>
  </si>
  <si>
    <t>Start:15784:3.87:</t>
  </si>
  <si>
    <t>Start:15896:3.61:</t>
  </si>
  <si>
    <t>Start:16008:3.31:</t>
  </si>
  <si>
    <t>Start:16120:2.97:</t>
  </si>
  <si>
    <t>Start:16232:2.61:</t>
  </si>
  <si>
    <t>Start:16344:2.24:</t>
  </si>
  <si>
    <t>Start:16456:1.88:</t>
  </si>
  <si>
    <t>Start:16568:1.54:</t>
  </si>
  <si>
    <t>Start:16680:1.26:</t>
  </si>
  <si>
    <t>Start:16792:1.04:</t>
  </si>
  <si>
    <t>Start:16904:0.89:</t>
  </si>
  <si>
    <t>Start:17016:0.83:</t>
  </si>
  <si>
    <t>Start:17128:0.87:</t>
  </si>
  <si>
    <t>Start:17240:1.00:</t>
  </si>
  <si>
    <t>Start:17352:1.21:</t>
  </si>
  <si>
    <t>Start:17464:1.51:</t>
  </si>
  <si>
    <t>Start:17576:1.86:</t>
  </si>
  <si>
    <t>Start:17688:2.25:</t>
  </si>
  <si>
    <t>Start:17800:2.65:</t>
  </si>
  <si>
    <t>Start:17912:3.05:</t>
  </si>
  <si>
    <t>Start:18024:3.42:</t>
  </si>
  <si>
    <t>Start:18136:3.73:</t>
  </si>
  <si>
    <t>Start:18248:3.97:</t>
  </si>
  <si>
    <t>Start:18360:4.13:</t>
  </si>
  <si>
    <t>Start:18472:4.20:</t>
  </si>
  <si>
    <t>Start:18584:4.19:</t>
  </si>
  <si>
    <t>Start:18696:4.12:</t>
  </si>
  <si>
    <t>Start:18808:3.97:</t>
  </si>
  <si>
    <t>Start:18920:3.76:</t>
  </si>
  <si>
    <t>Start:19032:3.48:</t>
  </si>
  <si>
    <t>Start:19144:3.16:</t>
  </si>
  <si>
    <t>Start:19256:2.82:</t>
  </si>
  <si>
    <t>Start:19368:2.45:</t>
  </si>
  <si>
    <t>Start:19480:2.08:</t>
  </si>
  <si>
    <t>Start:19592:1.73:</t>
  </si>
  <si>
    <t>Start:19704:1.41:</t>
  </si>
  <si>
    <t>Start:19816:1.15:</t>
  </si>
  <si>
    <t>Start:19928:0.96:</t>
  </si>
  <si>
    <t>Start:20040:0.85:</t>
  </si>
  <si>
    <t>Start:20152:0.84:</t>
  </si>
  <si>
    <t>Start:20264:0.92:</t>
  </si>
  <si>
    <t>Start:20376:1.09:</t>
  </si>
  <si>
    <t>Start:20488:1.34:</t>
  </si>
  <si>
    <t>Start:20600:1.66:</t>
  </si>
  <si>
    <t>Start:20712:2.03:</t>
  </si>
  <si>
    <t>Start:20824:2.43:</t>
  </si>
  <si>
    <t>Start:20936:2.83:</t>
  </si>
  <si>
    <t>Start:21048:3.23:</t>
  </si>
  <si>
    <t>Start:21160:3.57:</t>
  </si>
  <si>
    <t>Start:21272:3.85:</t>
  </si>
  <si>
    <t>Start:21384:4.05:</t>
  </si>
  <si>
    <t>Start:21496:4.17:</t>
  </si>
  <si>
    <t>Start:21608:4.21:</t>
  </si>
  <si>
    <t>Start:21720:4.17:</t>
  </si>
  <si>
    <t>Start:21832:4.07:</t>
  </si>
  <si>
    <t>Start:21944:3.89:</t>
  </si>
  <si>
    <t>Start:22056:3.64:</t>
  </si>
  <si>
    <t>Start:22168:3.34:</t>
  </si>
  <si>
    <t>Start:22280:3.01:</t>
  </si>
  <si>
    <t>Start:22392:2.65:</t>
  </si>
  <si>
    <t>Start:22504:2.28:</t>
  </si>
  <si>
    <t>Start:22616:1.92:</t>
  </si>
  <si>
    <t>Start:22728:1.58:</t>
  </si>
  <si>
    <t>Start:22840:1.29:</t>
  </si>
  <si>
    <t>Start:22952:1.06:</t>
  </si>
  <si>
    <t>Start:23064:0.90:</t>
  </si>
  <si>
    <t>Start:23176:0.84:</t>
  </si>
  <si>
    <t>Start:23288:0.87:</t>
  </si>
  <si>
    <t>Start:23400:0.98:</t>
  </si>
  <si>
    <t>Start:23512:1.19:</t>
  </si>
  <si>
    <t>Start:23624:1.47:</t>
  </si>
  <si>
    <t>Start:23736:1.82:</t>
  </si>
  <si>
    <t>Start:23848:2.21:</t>
  </si>
  <si>
    <t>Start:23960:2.61:</t>
  </si>
  <si>
    <t>Start:24072:3.01:</t>
  </si>
  <si>
    <t>Start:24184:3.38:</t>
  </si>
  <si>
    <t>Start:24296:3.70:</t>
  </si>
  <si>
    <t>Start:24408:3.95:</t>
  </si>
  <si>
    <t>Start:24520:4.11:</t>
  </si>
  <si>
    <t>Start:24632:4.19:</t>
  </si>
  <si>
    <t>Start:24744:4.20:</t>
  </si>
  <si>
    <t>Start:24856:4.13:</t>
  </si>
  <si>
    <t>Start:24968:3.99:</t>
  </si>
  <si>
    <t>Start:25080:3.79:</t>
  </si>
  <si>
    <t>Start:25304:3.20:</t>
  </si>
  <si>
    <t>Start:25416:2.85:</t>
  </si>
  <si>
    <t>Start:25528:2.48:</t>
  </si>
  <si>
    <t>Start:25640:2.12:</t>
  </si>
  <si>
    <t>Start:25752:1.76:</t>
  </si>
  <si>
    <t>Start:25864:1.44:</t>
  </si>
  <si>
    <t>Start:25976:1.17:</t>
  </si>
  <si>
    <t>Start:26088:0.97:</t>
  </si>
  <si>
    <t>Start:26200:0.86:</t>
  </si>
  <si>
    <t>Start:26312:0.84:</t>
  </si>
  <si>
    <t>Start:26424:0.90:</t>
  </si>
  <si>
    <t>Start:26536:1.07:</t>
  </si>
  <si>
    <t>Start:26648:1.31:</t>
  </si>
  <si>
    <t>Start:26760:1.63:</t>
  </si>
  <si>
    <t>Start:26872:1.99:</t>
  </si>
  <si>
    <t>Start:26984:2.39:</t>
  </si>
  <si>
    <t>Start:27096:2.80:</t>
  </si>
  <si>
    <t>Start:27208:3.19:</t>
  </si>
  <si>
    <t>Start:27320:3.54:</t>
  </si>
  <si>
    <t>Start:27432:3.82:</t>
  </si>
  <si>
    <t>Start:27544:4.03:</t>
  </si>
  <si>
    <t>Start:27656:4.16:</t>
  </si>
  <si>
    <t>Start:27768:4.20:</t>
  </si>
  <si>
    <t>Start:27880:4.18:</t>
  </si>
  <si>
    <t>Start:27992:4.08:</t>
  </si>
  <si>
    <t>Start:28104:3.91:</t>
  </si>
  <si>
    <t>Start:28216:3.67:</t>
  </si>
  <si>
    <t>Start:28328:3.38:</t>
  </si>
  <si>
    <t>Start:28440:3.04:</t>
  </si>
  <si>
    <t>Start:28552:2.69:</t>
  </si>
  <si>
    <t>Start:28664:2.32:</t>
  </si>
  <si>
    <t>Start:28776:1.95:</t>
  </si>
  <si>
    <t>Start:28888:1.61:</t>
  </si>
  <si>
    <t>Start:29000:1.31:</t>
  </si>
  <si>
    <t>Start:29112:1.07:</t>
  </si>
  <si>
    <t>Start:29224:0.91:</t>
  </si>
  <si>
    <t>Start:29336:0.83:</t>
  </si>
  <si>
    <t>Start:29448:0.86:</t>
  </si>
  <si>
    <t>Start:29560:0.96:</t>
  </si>
  <si>
    <t>Start:29672:1.16:</t>
  </si>
  <si>
    <t>Start:29784:1.44:</t>
  </si>
  <si>
    <t>Start:29896:1.79:</t>
  </si>
  <si>
    <t>Start:30008:2.17:</t>
  </si>
  <si>
    <t>Start:30120:2.58:</t>
  </si>
  <si>
    <t>Start:30232:2.98:</t>
  </si>
  <si>
    <t>Start:30344:3.35:</t>
  </si>
  <si>
    <t>Start:30456:3.68:</t>
  </si>
  <si>
    <t>Start:30568:3.93:</t>
  </si>
  <si>
    <t>Start:30680:4.11:</t>
  </si>
  <si>
    <t>Start:30792:4.19:</t>
  </si>
  <si>
    <t>Start:30904:4.20:</t>
  </si>
  <si>
    <t>Start:31016:4.14:</t>
  </si>
  <si>
    <t>Start:31128:4.01:</t>
  </si>
  <si>
    <t>Start:31240:3.81:</t>
  </si>
  <si>
    <t>Start:31352:3.54:</t>
  </si>
  <si>
    <t>Start:31464:3.23:</t>
  </si>
  <si>
    <t>Start:31576:2.88:</t>
  </si>
  <si>
    <t>Start:31688:2.52:</t>
  </si>
  <si>
    <t>Start:31800:2.15:</t>
  </si>
  <si>
    <t>Start:31912:1.79:</t>
  </si>
  <si>
    <t>Start:32024:1.47:</t>
  </si>
  <si>
    <t>Start:32136:1.19:</t>
  </si>
  <si>
    <t>Start:32248:0.99:</t>
  </si>
  <si>
    <t>Start:32360:0.87:</t>
  </si>
  <si>
    <t>Start:32472:0.84:</t>
  </si>
  <si>
    <t>Start:32584:0.89:</t>
  </si>
  <si>
    <t>Start:32696:1.05:</t>
  </si>
  <si>
    <t>Start:32808:1.28:</t>
  </si>
  <si>
    <t>Start:32920:1.59:</t>
  </si>
  <si>
    <t>Start:33032:1.96:</t>
  </si>
  <si>
    <t>Start:33144:2.35:</t>
  </si>
  <si>
    <t>Start:33256:2.76:</t>
  </si>
  <si>
    <t>Start:33368:3.15:</t>
  </si>
  <si>
    <t>Start:33480:3.51:</t>
  </si>
  <si>
    <t>Start:33592:3.80:</t>
  </si>
  <si>
    <t>Start:33704:4.02:</t>
  </si>
  <si>
    <t>Start:33816:4.15:</t>
  </si>
  <si>
    <t>Start:33928:4.21:</t>
  </si>
  <si>
    <t>Start:34040:4.19:</t>
  </si>
  <si>
    <t>Start:34152:4.10:</t>
  </si>
  <si>
    <t>Start:34264:3.93:</t>
  </si>
  <si>
    <t>Start:34376:3.70:</t>
  </si>
  <si>
    <t>Start:34488:3.41:</t>
  </si>
  <si>
    <t>Start:34600:3.08:</t>
  </si>
  <si>
    <t>Start:34712:2.72:</t>
  </si>
  <si>
    <t>Start:34824:2.35:</t>
  </si>
  <si>
    <t>Start:34936:1.98:</t>
  </si>
  <si>
    <t>Start:35048:1.64:</t>
  </si>
  <si>
    <t>Start:35160:1.33:</t>
  </si>
  <si>
    <t>Start:35272:1.09:</t>
  </si>
  <si>
    <t>Start:35384:0.92:</t>
  </si>
  <si>
    <t>Start:35496:0.84:</t>
  </si>
  <si>
    <t>Start:35608:0.85:</t>
  </si>
  <si>
    <t>Start:35720:0.95:</t>
  </si>
  <si>
    <t>Start:35832:1.14:</t>
  </si>
  <si>
    <t>Start:35944:1.41:</t>
  </si>
  <si>
    <t>Start:36056:1.75:</t>
  </si>
  <si>
    <t>Start:36168:2.14:</t>
  </si>
  <si>
    <t>Start:36280:2.54:</t>
  </si>
  <si>
    <t>Start:36392:2.94:</t>
  </si>
  <si>
    <t>Start:36504:3.32:</t>
  </si>
  <si>
    <t>Start:36616:3.65:</t>
  </si>
  <si>
    <t>Start:36728:3.91:</t>
  </si>
  <si>
    <t>Start:36840:4.09:</t>
  </si>
  <si>
    <t>Start:36952:4.19:</t>
  </si>
  <si>
    <t>Start:37064:4.20:</t>
  </si>
  <si>
    <t>Start:37176:4.15:</t>
  </si>
  <si>
    <t>Start:37288:4.03:</t>
  </si>
  <si>
    <t>Start:37400:3.83:</t>
  </si>
  <si>
    <t>Start:37512:3.57:</t>
  </si>
  <si>
    <t>Start:37624:3.26:</t>
  </si>
  <si>
    <t>Start:37736:2.92:</t>
  </si>
  <si>
    <t>Start:37848:2.56:</t>
  </si>
  <si>
    <t>Start:37960:2.19:</t>
  </si>
  <si>
    <t>Start:38072:1.82:</t>
  </si>
  <si>
    <t>Start:38184:1.50:</t>
  </si>
  <si>
    <t>Start:38296:1.22:</t>
  </si>
  <si>
    <t>Start:38408:1.01:</t>
  </si>
  <si>
    <t>Start:38520:0.87:</t>
  </si>
  <si>
    <t>Start:38632:0.83:</t>
  </si>
  <si>
    <t>Start:38744:0.89:</t>
  </si>
  <si>
    <t>Start:38856:1.03:</t>
  </si>
  <si>
    <t>Start:38968:1.26:</t>
  </si>
  <si>
    <t>Start:39080:1.56:</t>
  </si>
  <si>
    <t>Start:39192:1.93:</t>
  </si>
  <si>
    <t>Start:39304:2.32:</t>
  </si>
  <si>
    <t>Start:39416:2.72:</t>
  </si>
  <si>
    <t>Start:39528:3.12:</t>
  </si>
  <si>
    <t>Start:39640:3.48:</t>
  </si>
  <si>
    <t>Start:39752:3.78:</t>
  </si>
  <si>
    <t>Start:39864:4.00:</t>
  </si>
  <si>
    <t>Start:39976:4.14:</t>
  </si>
  <si>
    <t>Start:40088:4.20:</t>
  </si>
  <si>
    <t>Start:40200:4.19:</t>
  </si>
  <si>
    <t>Start:40312:4.10:</t>
  </si>
  <si>
    <t>Start:40424:3.94:</t>
  </si>
  <si>
    <t>Start:40648:3.43:</t>
  </si>
  <si>
    <t>Start:40760:3.11:</t>
  </si>
  <si>
    <t>Start:40872:2.76:</t>
  </si>
  <si>
    <t>Start:40984:2.39:</t>
  </si>
  <si>
    <t>Start:41096:2.02:</t>
  </si>
  <si>
    <t>Start:41208:1.68:</t>
  </si>
  <si>
    <t>Start:41320:1.37:</t>
  </si>
  <si>
    <t>Start:41432:1.12:</t>
  </si>
  <si>
    <t>Start:41544:0.94:</t>
  </si>
  <si>
    <t>Start:41656:0.85:</t>
  </si>
  <si>
    <t>Start:41768:0.85:</t>
  </si>
  <si>
    <t>Start:41880:0.94:</t>
  </si>
  <si>
    <t>Start:41992:1.12:</t>
  </si>
  <si>
    <t>Start:42104:1.38:</t>
  </si>
  <si>
    <t>Start:42216:1.71:</t>
  </si>
  <si>
    <t>Start:42328:2.09:</t>
  </si>
  <si>
    <t>Start:42440:2.49:</t>
  </si>
  <si>
    <t>Start:42552:2.89:</t>
  </si>
  <si>
    <t>Start:42664:3.27:</t>
  </si>
  <si>
    <t>Start:42776:3.61:</t>
  </si>
  <si>
    <t>Start:42888:3.88:</t>
  </si>
  <si>
    <t>Start:43000:4.07:</t>
  </si>
  <si>
    <t>Start:43112:4.17:</t>
  </si>
  <si>
    <t>Start:43224:4.20:</t>
  </si>
  <si>
    <t>Start:43336:4.16:</t>
  </si>
  <si>
    <t>Start:43448:4.04:</t>
  </si>
  <si>
    <t>Start:43560:3.86:</t>
  </si>
  <si>
    <t>Start:43672:3.60:</t>
  </si>
  <si>
    <t>Start:43784:3.30:</t>
  </si>
  <si>
    <t>Start:43896:2.96:</t>
  </si>
  <si>
    <t>Start:44008:2.60:</t>
  </si>
  <si>
    <t>Start:44120:2.23:</t>
  </si>
  <si>
    <t>Start:44232:1.87:</t>
  </si>
  <si>
    <t>Start:44344:1.53:</t>
  </si>
  <si>
    <t>Start:44456:1.25:</t>
  </si>
  <si>
    <t>Start:44568:1.03:</t>
  </si>
  <si>
    <t>Start:44680:0.88:</t>
  </si>
  <si>
    <t>Start:44792:0.84:</t>
  </si>
  <si>
    <t>Channels</t>
  </si>
  <si>
    <t>Data Source Id</t>
  </si>
  <si>
    <t>Data Interval (ms)</t>
  </si>
  <si>
    <t>Baud Rate</t>
  </si>
  <si>
    <t>This manifest was generated for the connected device. You can edit the device name and channel data here and the Data In worksheet will be updated.</t>
  </si>
  <si>
    <t>Id</t>
  </si>
  <si>
    <t>Name</t>
  </si>
  <si>
    <t>Description</t>
  </si>
  <si>
    <t>Unit of Measure</t>
  </si>
  <si>
    <t>Active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</si>
  <si>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</si>
  <si>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</si>
  <si>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</si>
  <si>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</si>
  <si>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</si>
  <si>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</si>
  <si>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</si>
  <si>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</si>
  <si>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</si>
  <si>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</si>
  <si>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</si>
  <si>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Workbook Settings</t>
  </si>
  <si>
    <t>Settings below will affect how data is read into the current workbook from data sources. Clear a field's contents to revert to its default setting.</t>
  </si>
  <si>
    <t>Data interval (ms)</t>
  </si>
  <si>
    <t>Data rows</t>
  </si>
  <si>
    <t>Data channels</t>
  </si>
  <si>
    <t>Data orientation</t>
  </si>
  <si>
    <t>Newest last</t>
  </si>
  <si>
    <r>
      <t>WARNING:</t>
    </r>
    <r>
      <rPr>
        <sz val="11"/>
        <color theme="1"/>
        <rFont val="Segoe UI Light"/>
        <family val="2"/>
      </rPr>
      <t xml:space="preserve"> Changing settings may result in the loss of content and/or custom formatting in the Data In and Data Out worksheets. Always save before changing values.</t>
    </r>
  </si>
  <si>
    <t>Data Out (To Device)</t>
  </si>
  <si>
    <t>Data entered into the channels below will be sent to the currently connected device as a comma-delimited string.</t>
  </si>
  <si>
    <t>Data coming from the current data source will appear below as it is received.</t>
  </si>
  <si>
    <t>Current Data</t>
  </si>
  <si>
    <t>TIME</t>
  </si>
  <si>
    <t>Historical Data</t>
  </si>
  <si>
    <t>Start time2</t>
  </si>
  <si>
    <t>Voltage2</t>
  </si>
  <si>
    <t>End time2</t>
  </si>
  <si>
    <t>Rising Through Threshold2</t>
  </si>
  <si>
    <t>Last2</t>
  </si>
  <si>
    <t>Period2</t>
  </si>
  <si>
    <t>include in duty2</t>
  </si>
  <si>
    <t>Above Threshold2</t>
  </si>
  <si>
    <t>count</t>
  </si>
  <si>
    <t>sum</t>
  </si>
  <si>
    <t>Duty</t>
  </si>
  <si>
    <t>Above Theshold</t>
  </si>
  <si>
    <t>include in duty</t>
  </si>
  <si>
    <t>Start:246.500:2.20:a:a:</t>
  </si>
  <si>
    <t>Start:216.750:1.88:a:a:</t>
  </si>
  <si>
    <t>Start:301.750:1.24:a:a:</t>
  </si>
  <si>
    <t>Start:437.750:4.39:a:a:</t>
  </si>
  <si>
    <t>Start:255.0:0.00:a:a:</t>
  </si>
  <si>
    <t>Start:259.250:0.00:a:a:</t>
  </si>
  <si>
    <t>Start:603.500:5.00:a:a:</t>
  </si>
  <si>
    <t>Start:607.750:4.39:a:a:</t>
  </si>
  <si>
    <t>Start:612.0:2.51:a:a:</t>
  </si>
  <si>
    <t>Start:616.250:1.55:a:a:</t>
  </si>
  <si>
    <t>Start:620.500:0.61:a:a:</t>
  </si>
  <si>
    <t>Start:624.750:0.00:a:a:</t>
  </si>
  <si>
    <t>Start:994.500:0.00:a:a:</t>
  </si>
  <si>
    <t>Start:1062.500:3.76:a:a:</t>
  </si>
  <si>
    <t>Start:1355.750:0.00:a:a:</t>
  </si>
  <si>
    <t>Start:573.750:0.00:a:a:</t>
  </si>
  <si>
    <t>Start:599.250:5.00:a:a:</t>
  </si>
  <si>
    <t>Start:1304.750:0.00:a:a:</t>
  </si>
  <si>
    <t>Start:1381.250:4.39:a:a:</t>
  </si>
  <si>
    <t>Start:1674.500:0.00:a:a:</t>
  </si>
  <si>
    <t>Start:165.750:2.65:a:a:</t>
  </si>
  <si>
    <t>Start:718.250:2.65:a:a:</t>
  </si>
  <si>
    <t>Start:0.0:0.49:a:a:</t>
  </si>
  <si>
    <t>Start:4.250:1.24:a:a:</t>
  </si>
  <si>
    <t>Start:8.500:2.78:a:a:</t>
  </si>
  <si>
    <t>Start:12.750:3.31:a:a:</t>
  </si>
  <si>
    <t>Start:17.0:3.82:a:a:</t>
  </si>
  <si>
    <t>Start:21.250:5.00:a:a:</t>
  </si>
  <si>
    <t>Start:25.500:4.76:a:a:</t>
  </si>
  <si>
    <t>Start:29.750:3.82:a:a:</t>
  </si>
  <si>
    <t>Start:34.0:2.88:a:a:</t>
  </si>
  <si>
    <t>Start:38.250:1.00:a:a:</t>
  </si>
  <si>
    <t>Start:42.500:0.14:a:a:</t>
  </si>
  <si>
    <t>Start:46.750:0.00:a:a:</t>
  </si>
  <si>
    <t>Start:51.0:0.55:a:a:</t>
  </si>
  <si>
    <t>Start:55.250:1.24:a:a:</t>
  </si>
  <si>
    <t>Start:59.500:2.00:a:a:</t>
  </si>
  <si>
    <t>Start:63.750:3.27:a:a:</t>
  </si>
  <si>
    <t>Start:68.0:3.76:a:a:</t>
  </si>
  <si>
    <t>Start:72.250:4.71:a:a:</t>
  </si>
  <si>
    <t>Start:76.500:5.00:a:a:</t>
  </si>
  <si>
    <t>Start:80.750:3.90:a:a:</t>
  </si>
  <si>
    <t>Start:85.0:2.98:a:a:</t>
  </si>
  <si>
    <t>Start:89.250:2.02:a:a:</t>
  </si>
  <si>
    <t>Start:93.500:0.18:a:a:</t>
  </si>
  <si>
    <t>Start:97.750:0.00:a:a:</t>
  </si>
  <si>
    <t>Start:102.0:0.00:a:a:</t>
  </si>
  <si>
    <t>Start:106.250:0.49:a:a:</t>
  </si>
  <si>
    <t>Start:110.500:1.94:a:a:</t>
  </si>
  <si>
    <t>Start:114.750:2.67:a:a:</t>
  </si>
  <si>
    <t>Start:119.0:3.27:a:a:</t>
  </si>
  <si>
    <t>Start:123.250:4.71:a:a:</t>
  </si>
  <si>
    <t>Start:127.500:5.00:a:a:</t>
  </si>
  <si>
    <t>Start:131.750:4.86:a:a:</t>
  </si>
  <si>
    <t>Start:136.0:3.00:a:a:</t>
  </si>
  <si>
    <t>Start:140.250:2.06:a:a:</t>
  </si>
  <si>
    <t>Start:144.500:1.10:a:a:</t>
  </si>
  <si>
    <t>Start:148.750:0.18:a:a:</t>
  </si>
  <si>
    <t>Start:153.0:0.00:a:a:</t>
  </si>
  <si>
    <t>Start:157.250:0.47:a:a:</t>
  </si>
  <si>
    <t>Start:161.500:1.12:a:a:</t>
  </si>
  <si>
    <t>Start:170.0:3.25:a:a:</t>
  </si>
  <si>
    <t>Start:174.250:3.76:a:a:</t>
  </si>
  <si>
    <t>Start:178.500:4.63:a:a:</t>
  </si>
  <si>
    <t>Start:182.750:4.86:a:a:</t>
  </si>
  <si>
    <t>Start:187.0:3.98:a:a:</t>
  </si>
  <si>
    <t>Start:191.250:3.06:a:a:</t>
  </si>
  <si>
    <t>Start:195.500:1.22:a:a:</t>
  </si>
  <si>
    <t>Start:199.750:0.27:a:a:</t>
  </si>
  <si>
    <t>Start:204.0:0.00:a:a:</t>
  </si>
  <si>
    <t>Start:208.250:0.45:a:a:</t>
  </si>
  <si>
    <t>Start:212.500:1.10:a:a:</t>
  </si>
  <si>
    <t>Start:221.0:2.63:a:a:</t>
  </si>
  <si>
    <t>Start:225.250:3.76:a:a:</t>
  </si>
  <si>
    <t>Start:229.500:4.57:a:a:</t>
  </si>
  <si>
    <t>Start:233.750:5.00:a:a:</t>
  </si>
  <si>
    <t>Start:238.0:4.06:a:a:</t>
  </si>
  <si>
    <t>Start:242.250:3.12:a:a:</t>
  </si>
  <si>
    <t>Start:250.750:0.29:a:a:</t>
  </si>
  <si>
    <t>Start:263.500:0.43:a:a:</t>
  </si>
  <si>
    <t>Start:267.750:1.88:a:a:</t>
  </si>
  <si>
    <t>Start:272.0:2.57:a:a:</t>
  </si>
  <si>
    <t>Start:276.250:3.20:a:a:</t>
  </si>
  <si>
    <t>Start:280.500:4.53:a:a:</t>
  </si>
  <si>
    <t>Start:284.750:5.00:a:a:</t>
  </si>
  <si>
    <t>Start:289.0:4.98:a:a:</t>
  </si>
  <si>
    <t>Start:293.250:4.06:a:a:</t>
  </si>
  <si>
    <t>Start:297.500:2.20:a:a:</t>
  </si>
  <si>
    <t>Start:306.0:0.29:a:a:</t>
  </si>
  <si>
    <t>Start:310.250:0.00:a:a:</t>
  </si>
  <si>
    <t>Start:314.500:0.37:a:a:</t>
  </si>
  <si>
    <t>Start:318.750:1.00:a:a:</t>
  </si>
  <si>
    <t>Start:323.0:2.51:a:a:</t>
  </si>
  <si>
    <t>Start:327.250:3.12:a:a:</t>
  </si>
  <si>
    <t>Start:331.500:3.61:a:a:</t>
  </si>
  <si>
    <t>Start:335.750:4.45:a:a:</t>
  </si>
  <si>
    <t>Start:340.0:5.00:a:a:</t>
  </si>
  <si>
    <t>Start:344.250:4.14:a:a:</t>
  </si>
  <si>
    <t>Start:348.500:3.20:a:a:</t>
  </si>
  <si>
    <t>Start:352.750:1.31:a:a:</t>
  </si>
  <si>
    <t>Start:357.0:0.39:a:a:</t>
  </si>
  <si>
    <t>Start:361.250:0.00:a:a:</t>
  </si>
  <si>
    <t>Start:365.500:0.00:a:a:</t>
  </si>
  <si>
    <t>Start:369.750:0.96:a:a:</t>
  </si>
  <si>
    <t>Start:374.0:1.73:a:a:</t>
  </si>
  <si>
    <t>Start:378.250:2.49:a:a:</t>
  </si>
  <si>
    <t>Start:382.500:3.61:a:a:</t>
  </si>
  <si>
    <t>Start:386.750:4.41:a:a:</t>
  </si>
  <si>
    <t>Start:391.0:5.00:a:a:</t>
  </si>
  <si>
    <t>Start:395.250:4.20:a:a:</t>
  </si>
  <si>
    <t>Start:399.500:3.27:a:a:</t>
  </si>
  <si>
    <t>Start:403.750:2.35:a:a:</t>
  </si>
  <si>
    <t>Start:408.0:1.39:a:a:</t>
  </si>
  <si>
    <t>Start:412.250:0.00:a:a:</t>
  </si>
  <si>
    <t>Start:416.500:0.00:a:a:</t>
  </si>
  <si>
    <t>Start:420.750:0.29:a:a:</t>
  </si>
  <si>
    <t>Start:425.0:1.69:a:a:</t>
  </si>
  <si>
    <t>Start:429.250:2.47:a:a:</t>
  </si>
  <si>
    <t>Start:433.500:3.12:a:a:</t>
  </si>
  <si>
    <t>Start:442.0:5.00:a:a:</t>
  </si>
  <si>
    <t>Start:446.250:5.00:a:a:</t>
  </si>
  <si>
    <t>Start:450.500:4.24:a:a:</t>
  </si>
  <si>
    <t>Start:454.750:2.37:a:a:</t>
  </si>
  <si>
    <t>Start:459.0:1.41:a:a:</t>
  </si>
  <si>
    <t>Start:463.250:0.47:a:a:</t>
  </si>
  <si>
    <t>Start:467.500:0.00:a:a:</t>
  </si>
  <si>
    <t>Start:471.750:0.29:a:a:</t>
  </si>
  <si>
    <t>Start:476.0:0.94:a:a:</t>
  </si>
  <si>
    <t>Start:480.250:1.63:a:a:</t>
  </si>
  <si>
    <t>Start:484.500:3.10:a:a:</t>
  </si>
  <si>
    <t>Start:488.750:3.57:a:a:</t>
  </si>
  <si>
    <t>Start:493.0:4.31:a:a:</t>
  </si>
  <si>
    <t>Start:497.250:5.00:a:a:</t>
  </si>
  <si>
    <t>Start:501.500:4.25:a:a:</t>
  </si>
  <si>
    <t>Start:505.750:3.35:a:a:</t>
  </si>
  <si>
    <t>Start:510.0:1.49:a:a:</t>
  </si>
  <si>
    <t>Start:514.250:0.55:a:a:</t>
  </si>
  <si>
    <t>Start:518.500:0.00:a:a:</t>
  </si>
  <si>
    <t>Start:522.750:0.00:a:a:</t>
  </si>
  <si>
    <t>Start:527.0:0.86:a:a:</t>
  </si>
  <si>
    <t>Start:531.250:1.59:a:a:</t>
  </si>
  <si>
    <t>Start:535.500:2.35:a:a:</t>
  </si>
  <si>
    <t>Start:539.750:3.51:a:a:</t>
  </si>
  <si>
    <t>Start:544.0:4.24:a:a:</t>
  </si>
  <si>
    <t>Start:548.250:5.00:a:a:</t>
  </si>
  <si>
    <t>Start:552.500:5.00:a:a:</t>
  </si>
  <si>
    <t>Start:556.750:3.45:a:a:</t>
  </si>
  <si>
    <t>Start:561.0:2.51:a:a:</t>
  </si>
  <si>
    <t>Start:565.250:1.55:a:a:</t>
  </si>
  <si>
    <t>Start:569.500:0.00:a:a:</t>
  </si>
  <si>
    <t>Start:578.0:0.24:a:a:</t>
  </si>
  <si>
    <t>Start:582.250:1.55:a:a:</t>
  </si>
  <si>
    <t>Start:586.500:2.33:a:a:</t>
  </si>
  <si>
    <t>Start:590.750:3.00:a:a:</t>
  </si>
  <si>
    <t>Start:595.0:3.51:a:a:</t>
  </si>
  <si>
    <t>Start:629.0:0.18:a:a:</t>
  </si>
  <si>
    <t>Start:633.250:0.76:a:a:</t>
  </si>
  <si>
    <t>Start:637.500:1.53:a:a:</t>
  </si>
  <si>
    <t>Start:641.750:2.98:a:a:</t>
  </si>
  <si>
    <t>Start:646.0:3.47:a:a:</t>
  </si>
  <si>
    <t>Start:650.250:4.10:a:a:</t>
  </si>
  <si>
    <t>Start:654.500:5.00:a:a:</t>
  </si>
  <si>
    <t>Start:658.750:4.45:a:a:</t>
  </si>
  <si>
    <t>Start:663.0:3.51:a:a:</t>
  </si>
  <si>
    <t>Start:667.250:2.57:a:a:</t>
  </si>
  <si>
    <t>Start:671.500:0.69:a:a:</t>
  </si>
  <si>
    <t>Start:675.750:0.00:a:a:</t>
  </si>
  <si>
    <t>Start:680.0:0.00:a:a:</t>
  </si>
  <si>
    <t>Start:684.250:0.76:a:a:</t>
  </si>
  <si>
    <t>Start:688.500:1.49:a:a:</t>
  </si>
  <si>
    <t>Start:692.750:2.22:a:a:</t>
  </si>
  <si>
    <t>Start:697.0:3.45:a:a:</t>
  </si>
  <si>
    <t>Start:701.250:4.06:a:a:</t>
  </si>
  <si>
    <t>Start:705.500:5.00:a:a:</t>
  </si>
  <si>
    <t>Start:709.750:5.00:a:a:</t>
  </si>
  <si>
    <t>Start:714.0:3.61:a:a:</t>
  </si>
  <si>
    <t>Start:722.500:1.73:a:a:</t>
  </si>
  <si>
    <t>Start:726.750:0.00:a:a:</t>
  </si>
  <si>
    <t>Start:731.0:0.00:a:a:</t>
  </si>
  <si>
    <t>Start:735.250:0.14:a:a:</t>
  </si>
  <si>
    <t>Start:739.500:0.71:a:a:</t>
  </si>
  <si>
    <t>Start:743.750:2.20:a:a:</t>
  </si>
  <si>
    <t>Start:748.0:2.88:a:a:</t>
  </si>
  <si>
    <t>Start:752.250:3.45:a:a:</t>
  </si>
  <si>
    <t>Start:756.500:4.94:a:a:</t>
  </si>
  <si>
    <t>Start:760.750:5.00:a:a:</t>
  </si>
  <si>
    <t>Start:765.0:4.53:a:a:</t>
  </si>
  <si>
    <t>Start:769.250:2.67:a:a:</t>
  </si>
  <si>
    <t>Start:773.500:1.73:a:a:</t>
  </si>
  <si>
    <t>Start:777.750:0.76:a:a:</t>
  </si>
  <si>
    <t>Start:782.0:0.00:a:a:</t>
  </si>
  <si>
    <t>Start:786.250:0.12:a:a:</t>
  </si>
  <si>
    <t>Start:790.500:0.65:a:a:</t>
  </si>
  <si>
    <t>Start:794.750:1.39:a:a:</t>
  </si>
  <si>
    <t>Start:799.0:2.88:a:a:</t>
  </si>
  <si>
    <t>Start:803.250:3.45:a:a:</t>
  </si>
  <si>
    <t>Start:807.500:3.94:a:a:</t>
  </si>
  <si>
    <t>Start:811.750:5.00:a:a:</t>
  </si>
  <si>
    <t>Start:816.0:4.61:a:a:</t>
  </si>
  <si>
    <t>Start:820.250:3.76:a:a:</t>
  </si>
  <si>
    <t>Start:824.500:2.80:a:a:</t>
  </si>
  <si>
    <t>Start:828.750:0.94:a:a:</t>
  </si>
  <si>
    <t>Start:833.0:0.06:a:a:</t>
  </si>
  <si>
    <t>Start:837.250:0.00:a:a:</t>
  </si>
  <si>
    <t>Start:841.500:0.61:a:a:</t>
  </si>
  <si>
    <t>Start:845.750:1.33:a:a:</t>
  </si>
  <si>
    <t>Start:850.0:2.12:a:a:</t>
  </si>
  <si>
    <t>Start:854.250:2.80:a:a:</t>
  </si>
  <si>
    <t>Start:858.500:3.90:a:a:</t>
  </si>
  <si>
    <t>Start:862.750:4.86:a:a:</t>
  </si>
  <si>
    <t>Start:867.0:5.00:a:a:</t>
  </si>
  <si>
    <t>Start:871.250:3.76:a:a:</t>
  </si>
  <si>
    <t>Start:875.500:2.80:a:a:</t>
  </si>
  <si>
    <t>Start:879.750:1.88:a:a:</t>
  </si>
  <si>
    <t>Start:884.0:0.06:a:a:</t>
  </si>
  <si>
    <t>Start:888.250:0.00:a:a:</t>
  </si>
  <si>
    <t>Start:892.500:0.06:a:a:</t>
  </si>
  <si>
    <t>Start:896.750:0.61:a:a:</t>
  </si>
  <si>
    <t>Start:901.0:2.04:a:a:</t>
  </si>
  <si>
    <t>Start:905.250:2.78:a:a:</t>
  </si>
  <si>
    <t>Start:909.500:3.37:a:a:</t>
  </si>
  <si>
    <t>Start:913.750:4.78:a:a:</t>
  </si>
  <si>
    <t>Start:918.0:5.00:a:a:</t>
  </si>
  <si>
    <t>Start:922.250:4.71:a:a:</t>
  </si>
  <si>
    <t>Start:926.500:3.78:a:a:</t>
  </si>
  <si>
    <t>Start:930.750:1.90:a:a:</t>
  </si>
  <si>
    <t>Start:935.0:0.94:a:a:</t>
  </si>
  <si>
    <t>Start:939.250:0.06:a:a:</t>
  </si>
  <si>
    <t>Start:943.500:0.02:a:a:</t>
  </si>
  <si>
    <t>Start:947.750:0.59:a:a:</t>
  </si>
  <si>
    <t>Start:952.0:1.24:a:a:</t>
  </si>
  <si>
    <t>Start:956.250:2.78:a:a:</t>
  </si>
  <si>
    <t>Start:960.500:3.31:a:a:</t>
  </si>
  <si>
    <t>Start:964.750:3.82:a:a:</t>
  </si>
  <si>
    <t>Start:969.0:4.73:a:a:</t>
  </si>
  <si>
    <t>Start:973.250:4.73:a:a:</t>
  </si>
  <si>
    <t>Start:977.500:3.82:a:a:</t>
  </si>
  <si>
    <t>Start:981.750:2.88:a:a:</t>
  </si>
  <si>
    <t>Start:986.0:1.00:a:a:</t>
  </si>
  <si>
    <t>Start:990.250:0.14:a:a:</t>
  </si>
  <si>
    <t>Start:998.750:0.55:a:a:</t>
  </si>
  <si>
    <t>Start:1003.0:1.24:a:a:</t>
  </si>
  <si>
    <t>Start:1007.250:2.00:a:a:</t>
  </si>
  <si>
    <t>Start:1011.500:2.73:a:a:</t>
  </si>
  <si>
    <t>Start:1015.750:3.76:a:a:</t>
  </si>
  <si>
    <t>Start:1020.0:4.82:a:a:</t>
  </si>
  <si>
    <t>Start:1024.250:3.90:a:a:</t>
  </si>
  <si>
    <t>Start:1028.500:2.98:a:a:</t>
  </si>
  <si>
    <t>Start:1032.750:1.10:a:a:</t>
  </si>
  <si>
    <t>Start:1037.0:0.18:a:a:</t>
  </si>
  <si>
    <t>Start:1041.250:0.00:a:a:</t>
  </si>
  <si>
    <t>Start:1045.500:0.49:a:a:</t>
  </si>
  <si>
    <t>Start:1049.750:1.18:a:a:</t>
  </si>
  <si>
    <t>Start:1054.0:1.90:a:a:</t>
  </si>
  <si>
    <t>Start:1058.250:3.27:a:a:</t>
  </si>
  <si>
    <t>Start:1066.750:4.67:a:a:</t>
  </si>
  <si>
    <t>Start:1071.0:5.00:a:a:</t>
  </si>
  <si>
    <t>Start:1075.250:3.94:a:a:</t>
  </si>
  <si>
    <t>Start:1079.500:3.00:a:a:</t>
  </si>
  <si>
    <t>Start:1083.750:2.06:a:a:</t>
  </si>
  <si>
    <t>Start:1088.0:0.24:a:a:</t>
  </si>
  <si>
    <t>Start:1092.250:0.00:a:a:</t>
  </si>
  <si>
    <t>Start:1096.500:0.00:a:a:</t>
  </si>
  <si>
    <t>Start:1100.750:0.47:a:a:</t>
  </si>
  <si>
    <t>Start:1105.0:1.88:a:a:</t>
  </si>
  <si>
    <t>Start:1109.250:2.63:a:a:</t>
  </si>
  <si>
    <t>Start:1113.500:3.25:a:a:</t>
  </si>
  <si>
    <t>Start:1117.750:4.63:a:a:</t>
  </si>
  <si>
    <t>Start:1122.0:5.00:a:a:</t>
  </si>
  <si>
    <t>Start:1126.250:4.88:a:a:</t>
  </si>
  <si>
    <t>Start:1130.500:3.10:a:a:</t>
  </si>
  <si>
    <t>Start:1134.750:2.20:a:a:</t>
  </si>
  <si>
    <t>Start:1139.0:1.24:a:a:</t>
  </si>
  <si>
    <t>Start:1143.250:0.29:a:a:</t>
  </si>
  <si>
    <t>Start:1147.500:0.00:a:a:</t>
  </si>
  <si>
    <t>Start:1151.750:0.43:a:a:</t>
  </si>
  <si>
    <t>Start:1156.0:1.10:a:a:</t>
  </si>
  <si>
    <t>Start:1160.250:2.59:a:a:</t>
  </si>
  <si>
    <t>Start:1164.500:3.20:a:a:</t>
  </si>
  <si>
    <t>Start:1168.750:3.76:a:a:</t>
  </si>
  <si>
    <t>Start:1173.0:5.00:a:a:</t>
  </si>
  <si>
    <t>Start:1177.250:4.94:a:a:</t>
  </si>
  <si>
    <t>Start:1181.500:4.06:a:a:</t>
  </si>
  <si>
    <t>Start:1185.750:3.12:a:a:</t>
  </si>
  <si>
    <t>Start:1190.0:1.24:a:a:</t>
  </si>
  <si>
    <t>Start:1194.250:0.29:a:a:</t>
  </si>
  <si>
    <t>Start:1198.500:0.00:a:a:</t>
  </si>
  <si>
    <t>Start:1202.750:0.39:a:a:</t>
  </si>
  <si>
    <t>Start:1207.0:1.06:a:a:</t>
  </si>
  <si>
    <t>Start:1211.250:1.80:a:a:</t>
  </si>
  <si>
    <t>Start:1215.500:2.53:a:a:</t>
  </si>
  <si>
    <t>Start:1219.750:3.63:a:a:</t>
  </si>
  <si>
    <t>Start:1224.0:4.51:a:a:</t>
  </si>
  <si>
    <t>Start:1228.250:5.00:a:a:</t>
  </si>
  <si>
    <t>Start:1232.500:4.06:a:a:</t>
  </si>
  <si>
    <t>Start:1236.750:3.12:a:a:</t>
  </si>
  <si>
    <t>Start:1241.0:2.20:a:a:</t>
  </si>
  <si>
    <t>Start:1245.250:0.31:a:a:</t>
  </si>
  <si>
    <t>Start:1249.500:0.00:a:a:</t>
  </si>
  <si>
    <t>Start:1253.750:0.00:a:a:</t>
  </si>
  <si>
    <t>Start:1258.0:0.33:a:a:</t>
  </si>
  <si>
    <t>Start:1262.250:1.75:a:a:</t>
  </si>
  <si>
    <t>Start:1266.500:2.51:a:a:</t>
  </si>
  <si>
    <t>Start:1270.750:3.12:a:a:</t>
  </si>
  <si>
    <t>Start:1275.0:4.41:a:a:</t>
  </si>
  <si>
    <t>Start:1279.250:5.00:a:a:</t>
  </si>
  <si>
    <t>Start:1283.500:5.00:a:a:</t>
  </si>
  <si>
    <t>Start:1287.750:4.14:a:a:</t>
  </si>
  <si>
    <t>Start:1292.0:2.25:a:a:</t>
  </si>
  <si>
    <t>Start:1296.250:1.31:a:a:</t>
  </si>
  <si>
    <t>Start:1300.500:0.39:a:a:</t>
  </si>
  <si>
    <t>Start:1309.0:0.31:a:a:</t>
  </si>
  <si>
    <t>Start:1313.250:0.94:a:a:</t>
  </si>
  <si>
    <t>Start:1317.500:2.47:a:a:</t>
  </si>
  <si>
    <t>Start:1321.750:3.12:a:a:</t>
  </si>
  <si>
    <t>Start:1326.0:3.61:a:a:</t>
  </si>
  <si>
    <t>Start:1330.250:4.39:a:a:</t>
  </si>
  <si>
    <t>Start:1334.500:5.00:a:a:</t>
  </si>
  <si>
    <t>Start:1338.750:4.20:a:a:</t>
  </si>
  <si>
    <t>Start:1343.0:3.27:a:a:</t>
  </si>
  <si>
    <t>Start:1347.250:1.39:a:a:</t>
  </si>
  <si>
    <t>Start:1351.500:0.47:a:a:</t>
  </si>
  <si>
    <t>Start:1360.0:0.29:a:a:</t>
  </si>
  <si>
    <t>Start:1364.250:0.94:a:a:</t>
  </si>
  <si>
    <t>Start:1368.500:1.69:a:a:</t>
  </si>
  <si>
    <t>Start:1372.750:2.43:a:a:</t>
  </si>
  <si>
    <t>Start:1377.0:3.57:a:a:</t>
  </si>
  <si>
    <t>Start:1385.500:5.00:a:a:</t>
  </si>
  <si>
    <t>Start:1389.750:4.24:a:a:</t>
  </si>
  <si>
    <t>Start:1394.0:3.29:a:a:</t>
  </si>
  <si>
    <t>Start:1398.250:2.35:a:a:</t>
  </si>
  <si>
    <t>Start:1402.500:1.39:a:a:</t>
  </si>
  <si>
    <t>Start:1406.750:0.00:a:a:</t>
  </si>
  <si>
    <t>Start:1411.0:0.00:a:a:</t>
  </si>
  <si>
    <t>Start:1415.250:0.27:a:a:</t>
  </si>
  <si>
    <t>Start:1419.500:1.63:a:a:</t>
  </si>
  <si>
    <t>Start:1423.750:2.37:a:a:</t>
  </si>
  <si>
    <t>Start:1428.0:3.06:a:a:</t>
  </si>
  <si>
    <t>Start:1432.250:4.25:a:a:</t>
  </si>
  <si>
    <t>Start:1436.500:5.00:a:a:</t>
  </si>
  <si>
    <t>Start:1440.750:5.00:a:a:</t>
  </si>
  <si>
    <t>Start:1445.0:4.31:a:a:</t>
  </si>
  <si>
    <t>Start:1449.250:2.49:a:a:</t>
  </si>
  <si>
    <t>Start:1453.500:1.55:a:a:</t>
  </si>
  <si>
    <t>Start:1457.750:0.61:a:a:</t>
  </si>
  <si>
    <t>Start:1462.0:0.00:a:a:</t>
  </si>
  <si>
    <t>Start:1466.250:0.24:a:a:</t>
  </si>
  <si>
    <t>Start:1470.500:0.86:a:a:</t>
  </si>
  <si>
    <t>Start:1474.750:1.55:a:a:</t>
  </si>
  <si>
    <t>Start:1479.0:3.04:a:a:</t>
  </si>
  <si>
    <t>Start:1483.250:3.51:a:a:</t>
  </si>
  <si>
    <t>Start:1487.500:4.22:a:a:</t>
  </si>
  <si>
    <t>Start:1491.750:5.00:a:a:</t>
  </si>
  <si>
    <t>Start:1496.0:4.39:a:a:</t>
  </si>
  <si>
    <t>Start:1500.250:3.45:a:a:</t>
  </si>
  <si>
    <t>Start:1504.500:1.55:a:a:</t>
  </si>
  <si>
    <t>Start:1508.750:0.61:a:a:</t>
  </si>
  <si>
    <t>Start:1513.0:0.00:a:a:</t>
  </si>
  <si>
    <t>Start:1517.250:0.00:a:a:</t>
  </si>
  <si>
    <t>Start:1521.500:0.80:a:a:</t>
  </si>
  <si>
    <t>Start:1525.750:1.55:a:a:</t>
  </si>
  <si>
    <t>Start:1530.0:2.31:a:a:</t>
  </si>
  <si>
    <t>Start:1534.250:3.47:a:a:</t>
  </si>
  <si>
    <t>Start:1538.500:4.14:a:a:</t>
  </si>
  <si>
    <t>Start:1542.750:5.00:a:a:</t>
  </si>
  <si>
    <t>Start:1547.0:4.41:a:a:</t>
  </si>
  <si>
    <t>Start:1551.250:3.47:a:a:</t>
  </si>
  <si>
    <t>Start:1555.500:2.53:a:a:</t>
  </si>
  <si>
    <t>Start:1559.750:1.59:a:a:</t>
  </si>
  <si>
    <t>Start:1564.0:0.00:a:a:</t>
  </si>
  <si>
    <t>Start:1568.250:0.00:a:a:</t>
  </si>
  <si>
    <t>Start:1572.500:0.18:a:a:</t>
  </si>
  <si>
    <t>Start:1576.750:1.49:a:a:</t>
  </si>
  <si>
    <t>Start:1581.0:2.25:a:a:</t>
  </si>
  <si>
    <t>Start:1585.250:2.98:a:a:</t>
  </si>
  <si>
    <t>Start:1589.500:3.45:a:a:</t>
  </si>
  <si>
    <t>Start:1593.750:5.00:a:a:</t>
  </si>
  <si>
    <t>Start:1598.0:5.00:a:a:</t>
  </si>
  <si>
    <t>Start:1602.250:4.45:a:a:</t>
  </si>
  <si>
    <t>Start:1606.500:2.63:a:a:</t>
  </si>
  <si>
    <t>Start:1610.750:1.69:a:a:</t>
  </si>
  <si>
    <t>Start:1615.0:0.75:a:a:</t>
  </si>
  <si>
    <t>Start:1619.250:0.00:a:a:</t>
  </si>
  <si>
    <t>Start:1623.500:0.14:a:a:</t>
  </si>
  <si>
    <t>Start:1627.750:0.75:a:a:</t>
  </si>
  <si>
    <t>Start:1632.0:1.43:a:a:</t>
  </si>
  <si>
    <t>Start:1636.250:2.94:a:a:</t>
  </si>
  <si>
    <t>Start:1640.500:3.45:a:a:</t>
  </si>
  <si>
    <t>Start:1644.750:4.04:a:a:</t>
  </si>
  <si>
    <t>Start:1649.0:5.00:a:a:</t>
  </si>
  <si>
    <t>Start:1653.250:4.53:a:a:</t>
  </si>
  <si>
    <t>Start:1657.500:3.61:a:a:</t>
  </si>
  <si>
    <t>Start:1661.750:2.67:a:a:</t>
  </si>
  <si>
    <t>Start:1666.0:0.76:a:a:</t>
  </si>
  <si>
    <t>Start:1670.250:0.00:a:a:</t>
  </si>
  <si>
    <t>Start:1678.750:0.69:a:a:</t>
  </si>
  <si>
    <t>Start:1683.0:1.39:a:a:</t>
  </si>
  <si>
    <t>Start:1687.250:2.20:a:a:</t>
  </si>
  <si>
    <t>Start:1691.500:3.45:a:a:</t>
  </si>
  <si>
    <t>Start:1695.750:4.00:a:a:</t>
  </si>
  <si>
    <t>refreshperiod</t>
  </si>
  <si>
    <t>not restart</t>
  </si>
  <si>
    <t>seq</t>
  </si>
  <si>
    <t>Arduino Uno</t>
  </si>
  <si>
    <t>prescaler</t>
  </si>
  <si>
    <t>Data In (From Arduino Uno (COM3))</t>
  </si>
  <si>
    <t>ms</t>
  </si>
  <si>
    <t>Refresh Period (ms)</t>
  </si>
  <si>
    <t>Prescaler</t>
  </si>
  <si>
    <t>Use lower values for high frequency signals.  Allowed values (2-7)</t>
  </si>
  <si>
    <t>a</t>
  </si>
  <si>
    <t>EA312006-51C5-4E13-A001-13DBEA7DC431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</si>
  <si>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,{"Description":null,"Id":"CH5","IsGhost":false,"Name":"CH5","Status":"Active","SubChannels":[],"UnitOfMeasure":null},{"Description":null,"Id":"CH6","IsGhost":false,"Name":"CH6","Status":"Active","SubChannels":[],"UnitOfMeasure":null},{"Description":null,"Id":"CH7","IsGhost":false,"Name":"CH7","Status":"Active","SubChannels":[],"UnitOfMeasure":null},{"Description":null,"Id":"CH8","IsGhost":false,"Name":"CH8","Status":"Active","SubChannels":[],"UnitOfMeasure":null},{"Description":null,"Id":"CH9","IsGhost":false,"Name":"CH9","Status":"Active","SubChannels":[],"UnitOfMeasure":null},{"Description":null,"Id":"CH10","IsGhost":false,"Name":"CH10","Status":"Active","SubChannels":[],"UnitOfMeasure":null}],"UnitOfMeasure":null}],"Commands":[],"DataInterval":150,"Id":"EA312006-51C5-4E13-A001-13DBEA7DC431","IsGenerated":true,"Name":"Arduino Uno","Version":null,"BaudRate":38400}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</si>
</sst>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\ &quot;μs&quot;"/>
    <numFmt numFmtId="165" formatCode="0.00\ &quot;v&quot;"/>
    <numFmt numFmtId="166" formatCode="0.00\ &quot;Hz&quot;"/>
    <numFmt numFmtId="167" formatCode="h:mm:ss.00"/>
  </numFmts>
  <fonts count="2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Segoe UI Light"/>
      <family val="2"/>
    </font>
    <font>
      <sz val="16"/>
      <color rgb="FF696969"/>
      <name val="Segoe UI Light"/>
      <family val="2"/>
    </font>
    <font>
      <sz val="1"/>
      <color rgb="FFFFFFFF"/>
      <name val="Calibri"/>
      <family val="2"/>
      <scheme val="minor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b/>
      <sz val="15"/>
      <color rgb="FFFFFFFF"/>
      <name val="Segoe UI"/>
      <family val="2"/>
    </font>
    <font>
      <sz val="10"/>
      <color rgb="FF000000"/>
      <name val="Segoe UI"/>
      <family val="2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  <font>
      <sz val="8"/>
      <color rgb="FF000000"/>
      <name val="Calibri"/>
      <family val="2"/>
    </font>
    <font>
      <sz val="11"/>
      <color theme="5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9" fontId="24" fillId="0" borderId="0" applyFont="0" applyFill="0" applyBorder="0" applyAlignment="0" applyProtection="0"/>
    <xf numFmtId="0" fontId="27" fillId="15" borderId="26" applyNumberFormat="0" applyAlignment="0" applyProtection="0"/>
  </cellStyleXfs>
  <cellXfs count="8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1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5" fontId="2" fillId="0" borderId="0" xfId="0" applyNumberFormat="1" applyFont="1"/>
    <xf numFmtId="164" fontId="2" fillId="0" borderId="0" xfId="0" applyNumberFormat="1" applyFont="1"/>
    <xf numFmtId="166" fontId="2" fillId="0" borderId="0" xfId="0" applyNumberFormat="1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Protection="1">
      <protection locked="0"/>
    </xf>
    <xf numFmtId="0" fontId="11" fillId="5" borderId="0" xfId="0" applyFont="1" applyFill="1" applyAlignment="1" applyProtection="1">
      <alignment horizontal="left" vertical="center" indent="1"/>
      <protection locked="0"/>
    </xf>
    <xf numFmtId="0" fontId="12" fillId="6" borderId="10" xfId="0" applyFont="1" applyFill="1" applyBorder="1" applyAlignment="1" applyProtection="1">
      <alignment horizontal="left" vertical="center" indent="1"/>
      <protection locked="0"/>
    </xf>
    <xf numFmtId="0" fontId="7" fillId="6" borderId="11" xfId="0" applyFont="1" applyFill="1" applyBorder="1" applyAlignment="1" applyProtection="1">
      <alignment horizontal="left" vertical="center" indent="1"/>
      <protection locked="0"/>
    </xf>
    <xf numFmtId="0" fontId="12" fillId="6" borderId="12" xfId="0" applyFont="1" applyFill="1" applyBorder="1" applyAlignment="1" applyProtection="1">
      <alignment horizontal="left" vertical="center" indent="1"/>
      <protection locked="0"/>
    </xf>
    <xf numFmtId="0" fontId="7" fillId="6" borderId="13" xfId="0" applyFont="1" applyFill="1" applyBorder="1" applyAlignment="1" applyProtection="1">
      <alignment horizontal="left" vertical="center" indent="1"/>
      <protection locked="0"/>
    </xf>
    <xf numFmtId="0" fontId="7" fillId="6" borderId="14" xfId="0" applyFont="1" applyFill="1" applyBorder="1" applyAlignment="1" applyProtection="1">
      <alignment horizontal="left" vertical="center" indent="1"/>
      <protection locked="0"/>
    </xf>
    <xf numFmtId="0" fontId="7" fillId="6" borderId="15" xfId="0" applyFont="1" applyFill="1" applyBorder="1" applyAlignment="1" applyProtection="1">
      <alignment horizontal="left" vertical="center" indent="1"/>
      <protection locked="0"/>
    </xf>
    <xf numFmtId="0" fontId="7" fillId="6" borderId="17" xfId="0" applyFont="1" applyFill="1" applyBorder="1" applyAlignment="1" applyProtection="1">
      <alignment horizontal="left" vertical="center" indent="1"/>
      <protection locked="0"/>
    </xf>
    <xf numFmtId="0" fontId="12" fillId="6" borderId="16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13" fillId="7" borderId="0" xfId="0" applyFont="1" applyFill="1" applyAlignment="1" applyProtection="1">
      <alignment horizontal="left" vertical="center" indent="1"/>
      <protection locked="0"/>
    </xf>
    <xf numFmtId="0" fontId="7" fillId="2" borderId="18" xfId="0" applyFont="1" applyFill="1" applyBorder="1" applyAlignment="1" applyProtection="1">
      <alignment horizontal="left" vertical="center" indent="1"/>
      <protection locked="0"/>
    </xf>
    <xf numFmtId="0" fontId="16" fillId="9" borderId="21" xfId="0" applyFont="1" applyFill="1" applyBorder="1" applyAlignment="1" applyProtection="1">
      <alignment horizontal="right" vertical="center" indent="1"/>
      <protection locked="0"/>
    </xf>
    <xf numFmtId="0" fontId="11" fillId="10" borderId="0" xfId="0" applyFont="1" applyFill="1" applyAlignment="1">
      <alignment horizontal="center" vertical="center"/>
    </xf>
    <xf numFmtId="0" fontId="16" fillId="11" borderId="22" xfId="0" applyFont="1" applyFill="1" applyBorder="1" applyAlignment="1" applyProtection="1">
      <alignment horizontal="right" vertical="center" indent="1"/>
      <protection locked="0"/>
    </xf>
    <xf numFmtId="167" fontId="16" fillId="11" borderId="22" xfId="0" applyNumberFormat="1" applyFont="1" applyFill="1" applyBorder="1" applyAlignment="1" applyProtection="1">
      <alignment horizontal="left" vertical="center" indent="1"/>
      <protection locked="0"/>
    </xf>
    <xf numFmtId="0" fontId="16" fillId="12" borderId="24" xfId="0" applyFont="1" applyFill="1" applyBorder="1" applyAlignment="1" applyProtection="1">
      <alignment horizontal="right" vertical="center" indent="1"/>
      <protection locked="0"/>
    </xf>
    <xf numFmtId="0" fontId="16" fillId="12" borderId="25" xfId="0" applyFont="1" applyFill="1" applyBorder="1" applyAlignment="1" applyProtection="1">
      <alignment horizontal="right" vertical="center" indent="1"/>
      <protection locked="0"/>
    </xf>
    <xf numFmtId="167" fontId="16" fillId="12" borderId="24" xfId="0" applyNumberFormat="1" applyFont="1" applyFill="1" applyBorder="1" applyAlignment="1" applyProtection="1">
      <alignment horizontal="left" vertical="center" indent="1"/>
      <protection locked="0"/>
    </xf>
    <xf numFmtId="167" fontId="16" fillId="12" borderId="25" xfId="0" applyNumberFormat="1" applyFont="1" applyFill="1" applyBorder="1" applyAlignment="1" applyProtection="1">
      <alignment horizontal="left" vertical="center" indent="1"/>
      <protection locked="0"/>
    </xf>
    <xf numFmtId="167" fontId="16" fillId="13" borderId="25" xfId="0" applyNumberFormat="1" applyFont="1" applyFill="1" applyBorder="1" applyAlignment="1" applyProtection="1">
      <alignment horizontal="left" vertical="center" indent="1"/>
      <protection locked="0"/>
    </xf>
    <xf numFmtId="0" fontId="16" fillId="13" borderId="25" xfId="0" applyFont="1" applyFill="1" applyBorder="1" applyAlignment="1" applyProtection="1">
      <alignment horizontal="right" vertical="center" indent="1"/>
      <protection locked="0"/>
    </xf>
    <xf numFmtId="0" fontId="18" fillId="0" borderId="0" xfId="0" applyFont="1"/>
    <xf numFmtId="0" fontId="19" fillId="0" borderId="0" xfId="0" applyFont="1" applyAlignment="1">
      <alignment horizontal="right"/>
    </xf>
    <xf numFmtId="165" fontId="20" fillId="0" borderId="0" xfId="0" applyNumberFormat="1" applyFont="1"/>
    <xf numFmtId="0" fontId="19" fillId="0" borderId="0" xfId="0" applyFont="1"/>
    <xf numFmtId="164" fontId="20" fillId="0" borderId="0" xfId="0" applyNumberFormat="1" applyFont="1"/>
    <xf numFmtId="166" fontId="20" fillId="0" borderId="0" xfId="0" applyNumberFormat="1" applyFont="1"/>
    <xf numFmtId="0" fontId="21" fillId="0" borderId="0" xfId="0" applyFont="1" applyAlignment="1">
      <alignment horizontal="right"/>
    </xf>
    <xf numFmtId="165" fontId="22" fillId="0" borderId="0" xfId="0" applyNumberFormat="1" applyFont="1"/>
    <xf numFmtId="0" fontId="21" fillId="0" borderId="0" xfId="0" applyFont="1"/>
    <xf numFmtId="164" fontId="22" fillId="0" borderId="0" xfId="0" applyNumberFormat="1" applyFont="1"/>
    <xf numFmtId="166" fontId="22" fillId="0" borderId="0" xfId="0" applyNumberFormat="1" applyFont="1"/>
    <xf numFmtId="0" fontId="23" fillId="0" borderId="0" xfId="0" applyFont="1" applyAlignment="1">
      <alignment horizontal="right"/>
    </xf>
    <xf numFmtId="0" fontId="1" fillId="14" borderId="0" xfId="0" applyFont="1" applyFill="1"/>
    <xf numFmtId="0" fontId="1" fillId="14" borderId="0" xfId="0" applyFont="1" applyFill="1" applyAlignment="1">
      <alignment wrapText="1"/>
    </xf>
    <xf numFmtId="9" fontId="19" fillId="0" borderId="0" xfId="1" applyFont="1" applyBorder="1"/>
    <xf numFmtId="9" fontId="21" fillId="0" borderId="0" xfId="1" applyFont="1"/>
    <xf numFmtId="165" fontId="26" fillId="0" borderId="0" xfId="0" applyNumberFormat="1" applyFont="1"/>
    <xf numFmtId="0" fontId="26" fillId="0" borderId="0" xfId="0" applyFont="1"/>
    <xf numFmtId="0" fontId="27" fillId="15" borderId="26" xfId="2"/>
    <xf numFmtId="0" fontId="16" fillId="12" borderId="25" xfId="0" quotePrefix="1" applyFont="1" applyFill="1" applyBorder="1" applyAlignment="1" applyProtection="1">
      <alignment horizontal="right" vertical="center" indent="1"/>
      <protection locked="0"/>
    </xf>
    <xf numFmtId="0" fontId="16" fillId="13" borderId="25" xfId="0" quotePrefix="1" applyFont="1" applyFill="1" applyBorder="1" applyAlignment="1" applyProtection="1">
      <alignment horizontal="right" vertical="center" indent="1"/>
      <protection locked="0"/>
    </xf>
    <xf numFmtId="0" fontId="16" fillId="11" borderId="22" xfId="0" quotePrefix="1" applyFont="1" applyFill="1" applyBorder="1" applyAlignment="1" applyProtection="1">
      <alignment horizontal="right" vertical="center" indent="1"/>
      <protection locked="0"/>
    </xf>
    <xf numFmtId="0" fontId="16" fillId="12" borderId="24" xfId="0" quotePrefix="1" applyFont="1" applyFill="1" applyBorder="1" applyAlignment="1" applyProtection="1">
      <alignment horizontal="right" vertical="center" indent="1"/>
      <protection locked="0"/>
    </xf>
    <xf numFmtId="0" fontId="8" fillId="2" borderId="0" xfId="0" applyFont="1" applyFill="1" applyAlignment="1">
      <alignment horizontal="left" indent="1"/>
    </xf>
    <xf numFmtId="0" fontId="9" fillId="2" borderId="0" xfId="0" applyFont="1" applyFill="1" applyAlignment="1">
      <alignment horizontal="left" vertical="top" wrapText="1" indent="1"/>
    </xf>
    <xf numFmtId="0" fontId="8" fillId="0" borderId="0" xfId="0" applyFont="1" applyAlignment="1">
      <alignment horizontal="left" indent="1"/>
    </xf>
    <xf numFmtId="0" fontId="9" fillId="0" borderId="0" xfId="0" applyFont="1" applyAlignment="1">
      <alignment horizontal="left" vertical="top" wrapText="1" indent="1"/>
    </xf>
    <xf numFmtId="0" fontId="8" fillId="7" borderId="0" xfId="0" applyFont="1" applyFill="1" applyAlignment="1" applyProtection="1">
      <alignment horizontal="left" indent="1"/>
      <protection locked="0"/>
    </xf>
    <xf numFmtId="0" fontId="9" fillId="7" borderId="0" xfId="0" applyFont="1" applyFill="1" applyAlignment="1" applyProtection="1">
      <alignment horizontal="left" vertical="top" wrapText="1" indent="1"/>
      <protection locked="0"/>
    </xf>
    <xf numFmtId="0" fontId="14" fillId="7" borderId="0" xfId="0" applyFont="1" applyFill="1" applyAlignment="1" applyProtection="1">
      <alignment horizontal="left" vertical="center" wrapText="1" indent="1"/>
      <protection locked="0"/>
    </xf>
    <xf numFmtId="0" fontId="8" fillId="2" borderId="0" xfId="0" applyFont="1" applyFill="1" applyAlignment="1" applyProtection="1">
      <alignment horizontal="left" indent="1"/>
      <protection locked="0"/>
    </xf>
    <xf numFmtId="0" fontId="9" fillId="2" borderId="0" xfId="0" applyFont="1" applyFill="1" applyAlignment="1" applyProtection="1">
      <alignment horizontal="left" vertical="top" wrapText="1" indent="1"/>
      <protection locked="0"/>
    </xf>
    <xf numFmtId="0" fontId="10" fillId="4" borderId="0" xfId="0" applyFont="1" applyFill="1" applyAlignment="1" applyProtection="1">
      <alignment horizontal="left" vertical="center" indent="1"/>
      <protection locked="0"/>
    </xf>
    <xf numFmtId="0" fontId="10" fillId="4" borderId="9" xfId="0" applyFont="1" applyFill="1" applyBorder="1" applyAlignment="1" applyProtection="1">
      <alignment horizontal="left" vertical="center" indent="1"/>
      <protection locked="0"/>
    </xf>
    <xf numFmtId="0" fontId="4" fillId="2" borderId="0" xfId="0" applyFont="1" applyFill="1" applyAlignment="1" applyProtection="1">
      <alignment horizontal="left" indent="1"/>
      <protection locked="0"/>
    </xf>
    <xf numFmtId="0" fontId="5" fillId="2" borderId="0" xfId="0" applyFont="1" applyFill="1" applyAlignment="1" applyProtection="1">
      <alignment horizontal="left"/>
    </xf>
    <xf numFmtId="0" fontId="6" fillId="2" borderId="0" xfId="0" applyFont="1" applyFill="1" applyAlignment="1" applyProtection="1">
      <alignment horizontal="left"/>
    </xf>
    <xf numFmtId="0" fontId="7" fillId="3" borderId="0" xfId="0" applyFont="1" applyFill="1" applyAlignment="1" applyProtection="1">
      <alignment horizontal="left" vertical="center" indent="1"/>
    </xf>
    <xf numFmtId="0" fontId="7" fillId="3" borderId="0" xfId="0" applyFont="1" applyFill="1" applyAlignment="1" applyProtection="1">
      <alignment horizontal="left" vertical="center" indent="1"/>
    </xf>
    <xf numFmtId="0" fontId="10" fillId="4" borderId="0" xfId="0" applyFont="1" applyFill="1" applyBorder="1" applyAlignment="1" applyProtection="1">
      <alignment horizontal="left" vertical="center" indent="1"/>
      <protection locked="0"/>
    </xf>
    <xf numFmtId="0" fontId="7" fillId="6" borderId="0" xfId="0" applyFont="1" applyFill="1" applyBorder="1" applyAlignment="1" applyProtection="1">
      <alignment horizontal="left" vertical="center" indent="1"/>
      <protection locked="0"/>
    </xf>
    <xf numFmtId="0" fontId="6" fillId="7" borderId="0" xfId="0" applyFont="1" applyFill="1" applyAlignment="1" applyProtection="1">
      <alignment horizontal="left" vertical="center" indent="1"/>
    </xf>
    <xf numFmtId="0" fontId="15" fillId="8" borderId="19" xfId="0" applyFont="1" applyFill="1" applyBorder="1" applyAlignment="1" applyProtection="1">
      <alignment horizontal="center" vertical="center"/>
    </xf>
    <xf numFmtId="0" fontId="15" fillId="8" borderId="20" xfId="0" applyFont="1" applyFill="1" applyBorder="1" applyAlignment="1" applyProtection="1">
      <alignment horizontal="center" vertical="center"/>
    </xf>
    <xf numFmtId="0" fontId="17" fillId="2" borderId="0" xfId="0" applyFont="1" applyFill="1" applyAlignment="1" applyProtection="1">
      <alignment horizontal="left" indent="1"/>
    </xf>
    <xf numFmtId="0" fontId="17" fillId="2" borderId="23" xfId="0" applyFont="1" applyFill="1" applyBorder="1" applyAlignment="1" applyProtection="1">
      <alignment horizontal="left" indent="1"/>
    </xf>
  </cellXfs>
  <cellStyles count="3">
    <cellStyle name="Input" xfId="2" builtinId="20"/>
    <cellStyle name="Normal" xfId="0" builtinId="0"/>
    <cellStyle name="Percent" xfId="1" builtinId="5"/>
  </cellStyles>
  <dxfs count="125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7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7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#,##0\ &quot;μs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0.00\ &quot;v&quot;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0.00\ &quot;v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#,##0\ &quot;μs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#,##0\ &quot;μs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0.00\ &quot;v&quot;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0.00\ &quot;v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#,##0\ &quot;μs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#,##0\ &quot;μs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0.00\ &quot;v&quot;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0.00\ &quot;v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#,##0\ &quot;μs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28A7D425-DCCD-4225-9FDF-C4ED14AC28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DStream!$G$1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DStream!$F$2:$F$69</c:f>
              <c:numCache>
                <c:formatCode>#,##0\ "μs"</c:formatCode>
                <c:ptCount val="68"/>
                <c:pt idx="0">
                  <c:v>0.51</c:v>
                </c:pt>
                <c:pt idx="1">
                  <c:v>0.63</c:v>
                </c:pt>
                <c:pt idx="2">
                  <c:v>0.8</c:v>
                </c:pt>
                <c:pt idx="3">
                  <c:v>1.06</c:v>
                </c:pt>
                <c:pt idx="4">
                  <c:v>1.31</c:v>
                </c:pt>
                <c:pt idx="5">
                  <c:v>1.59</c:v>
                </c:pt>
                <c:pt idx="6">
                  <c:v>1.84</c:v>
                </c:pt>
                <c:pt idx="7">
                  <c:v>2.1</c:v>
                </c:pt>
                <c:pt idx="8">
                  <c:v>2.31</c:v>
                </c:pt>
                <c:pt idx="9">
                  <c:v>2.5299999999999998</c:v>
                </c:pt>
                <c:pt idx="10">
                  <c:v>2.71</c:v>
                </c:pt>
                <c:pt idx="11">
                  <c:v>2.88</c:v>
                </c:pt>
                <c:pt idx="12">
                  <c:v>3.04</c:v>
                </c:pt>
                <c:pt idx="13">
                  <c:v>3.2</c:v>
                </c:pt>
                <c:pt idx="14">
                  <c:v>3.31</c:v>
                </c:pt>
                <c:pt idx="15">
                  <c:v>3.43</c:v>
                </c:pt>
                <c:pt idx="16">
                  <c:v>3.53</c:v>
                </c:pt>
                <c:pt idx="17">
                  <c:v>3.63</c:v>
                </c:pt>
                <c:pt idx="18">
                  <c:v>3.69</c:v>
                </c:pt>
                <c:pt idx="19">
                  <c:v>3.75</c:v>
                </c:pt>
                <c:pt idx="20">
                  <c:v>3.73</c:v>
                </c:pt>
                <c:pt idx="21">
                  <c:v>3.63</c:v>
                </c:pt>
                <c:pt idx="22">
                  <c:v>3.37</c:v>
                </c:pt>
                <c:pt idx="23">
                  <c:v>2.94</c:v>
                </c:pt>
                <c:pt idx="24">
                  <c:v>2.33</c:v>
                </c:pt>
                <c:pt idx="25">
                  <c:v>1.61</c:v>
                </c:pt>
                <c:pt idx="26">
                  <c:v>0.9</c:v>
                </c:pt>
                <c:pt idx="27">
                  <c:v>0.43</c:v>
                </c:pt>
                <c:pt idx="28">
                  <c:v>0.45</c:v>
                </c:pt>
                <c:pt idx="29">
                  <c:v>0.47</c:v>
                </c:pt>
                <c:pt idx="30">
                  <c:v>0.56999999999999995</c:v>
                </c:pt>
                <c:pt idx="31">
                  <c:v>0.73</c:v>
                </c:pt>
                <c:pt idx="32">
                  <c:v>0.96</c:v>
                </c:pt>
                <c:pt idx="33">
                  <c:v>1.22</c:v>
                </c:pt>
                <c:pt idx="34">
                  <c:v>1.49</c:v>
                </c:pt>
                <c:pt idx="35">
                  <c:v>1.75</c:v>
                </c:pt>
                <c:pt idx="36">
                  <c:v>2</c:v>
                </c:pt>
                <c:pt idx="37">
                  <c:v>2.2400000000000002</c:v>
                </c:pt>
                <c:pt idx="38">
                  <c:v>2.4500000000000002</c:v>
                </c:pt>
                <c:pt idx="39">
                  <c:v>2.65</c:v>
                </c:pt>
                <c:pt idx="40">
                  <c:v>2.82</c:v>
                </c:pt>
                <c:pt idx="41">
                  <c:v>2.98</c:v>
                </c:pt>
                <c:pt idx="42">
                  <c:v>3.14</c:v>
                </c:pt>
                <c:pt idx="43">
                  <c:v>3.27</c:v>
                </c:pt>
                <c:pt idx="44">
                  <c:v>3.39</c:v>
                </c:pt>
                <c:pt idx="45">
                  <c:v>3.51</c:v>
                </c:pt>
                <c:pt idx="46">
                  <c:v>3.59</c:v>
                </c:pt>
                <c:pt idx="47">
                  <c:v>3.67</c:v>
                </c:pt>
                <c:pt idx="48">
                  <c:v>3.73</c:v>
                </c:pt>
                <c:pt idx="49">
                  <c:v>3.73</c:v>
                </c:pt>
                <c:pt idx="50">
                  <c:v>3.65</c:v>
                </c:pt>
                <c:pt idx="51">
                  <c:v>3.45</c:v>
                </c:pt>
                <c:pt idx="52">
                  <c:v>3.08</c:v>
                </c:pt>
                <c:pt idx="53">
                  <c:v>2.4900000000000002</c:v>
                </c:pt>
                <c:pt idx="54">
                  <c:v>1.8</c:v>
                </c:pt>
                <c:pt idx="55">
                  <c:v>1.08</c:v>
                </c:pt>
                <c:pt idx="56">
                  <c:v>0.47</c:v>
                </c:pt>
                <c:pt idx="57">
                  <c:v>0.43</c:v>
                </c:pt>
                <c:pt idx="58">
                  <c:v>0.47</c:v>
                </c:pt>
                <c:pt idx="59">
                  <c:v>0.53</c:v>
                </c:pt>
                <c:pt idx="60">
                  <c:v>0.67</c:v>
                </c:pt>
                <c:pt idx="61">
                  <c:v>0.86</c:v>
                </c:pt>
                <c:pt idx="62">
                  <c:v>1.1200000000000001</c:v>
                </c:pt>
                <c:pt idx="63">
                  <c:v>1.39</c:v>
                </c:pt>
                <c:pt idx="64">
                  <c:v>1.65</c:v>
                </c:pt>
                <c:pt idx="65">
                  <c:v>1.9</c:v>
                </c:pt>
                <c:pt idx="66">
                  <c:v>2.16</c:v>
                </c:pt>
                <c:pt idx="67">
                  <c:v>2.37</c:v>
                </c:pt>
              </c:numCache>
            </c:numRef>
          </c:xVal>
          <c:yVal>
            <c:numRef>
              <c:f>DStream!$G$2:$G$69</c:f>
              <c:numCache>
                <c:formatCode>0.00\ "v"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E6-4C5D-897E-4F0947DB8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275128"/>
        <c:axId val="606275784"/>
      </c:scatterChart>
      <c:valAx>
        <c:axId val="606275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μ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75784"/>
        <c:crosses val="autoZero"/>
        <c:crossBetween val="midCat"/>
      </c:valAx>
      <c:valAx>
        <c:axId val="6062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v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75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Sheet1!$F$2:$F$69</c:f>
              <c:numCache>
                <c:formatCode>#,##0\ "μs"</c:formatCode>
                <c:ptCount val="68"/>
                <c:pt idx="0">
                  <c:v>0</c:v>
                </c:pt>
                <c:pt idx="1">
                  <c:v>4.25</c:v>
                </c:pt>
                <c:pt idx="2">
                  <c:v>8.5</c:v>
                </c:pt>
                <c:pt idx="3">
                  <c:v>12.75</c:v>
                </c:pt>
                <c:pt idx="4">
                  <c:v>17</c:v>
                </c:pt>
                <c:pt idx="5">
                  <c:v>21.25</c:v>
                </c:pt>
                <c:pt idx="6">
                  <c:v>25.5</c:v>
                </c:pt>
                <c:pt idx="7">
                  <c:v>29.75</c:v>
                </c:pt>
                <c:pt idx="8">
                  <c:v>34</c:v>
                </c:pt>
                <c:pt idx="9">
                  <c:v>38.25</c:v>
                </c:pt>
                <c:pt idx="10">
                  <c:v>42.5</c:v>
                </c:pt>
                <c:pt idx="11">
                  <c:v>46.75</c:v>
                </c:pt>
                <c:pt idx="12">
                  <c:v>51</c:v>
                </c:pt>
                <c:pt idx="13">
                  <c:v>55.25</c:v>
                </c:pt>
                <c:pt idx="14">
                  <c:v>59.5</c:v>
                </c:pt>
                <c:pt idx="15">
                  <c:v>63.75</c:v>
                </c:pt>
                <c:pt idx="16">
                  <c:v>68</c:v>
                </c:pt>
                <c:pt idx="17">
                  <c:v>72.25</c:v>
                </c:pt>
                <c:pt idx="18">
                  <c:v>76.5</c:v>
                </c:pt>
                <c:pt idx="19">
                  <c:v>80.75</c:v>
                </c:pt>
                <c:pt idx="20">
                  <c:v>85</c:v>
                </c:pt>
                <c:pt idx="21">
                  <c:v>89.25</c:v>
                </c:pt>
                <c:pt idx="22">
                  <c:v>93.5</c:v>
                </c:pt>
                <c:pt idx="23">
                  <c:v>97.75</c:v>
                </c:pt>
                <c:pt idx="24">
                  <c:v>102</c:v>
                </c:pt>
                <c:pt idx="25">
                  <c:v>106.25</c:v>
                </c:pt>
                <c:pt idx="26">
                  <c:v>110.5</c:v>
                </c:pt>
                <c:pt idx="27">
                  <c:v>114.75</c:v>
                </c:pt>
                <c:pt idx="28">
                  <c:v>119</c:v>
                </c:pt>
                <c:pt idx="29">
                  <c:v>123.25</c:v>
                </c:pt>
                <c:pt idx="30">
                  <c:v>127.5</c:v>
                </c:pt>
                <c:pt idx="31">
                  <c:v>131.75</c:v>
                </c:pt>
                <c:pt idx="32">
                  <c:v>136</c:v>
                </c:pt>
                <c:pt idx="33">
                  <c:v>140.25</c:v>
                </c:pt>
                <c:pt idx="34">
                  <c:v>144.5</c:v>
                </c:pt>
                <c:pt idx="35">
                  <c:v>148.75</c:v>
                </c:pt>
                <c:pt idx="36">
                  <c:v>153</c:v>
                </c:pt>
                <c:pt idx="37">
                  <c:v>157.25</c:v>
                </c:pt>
                <c:pt idx="38">
                  <c:v>161.5</c:v>
                </c:pt>
                <c:pt idx="39">
                  <c:v>165.75</c:v>
                </c:pt>
                <c:pt idx="40">
                  <c:v>170</c:v>
                </c:pt>
                <c:pt idx="41">
                  <c:v>174.25</c:v>
                </c:pt>
                <c:pt idx="42">
                  <c:v>178.5</c:v>
                </c:pt>
                <c:pt idx="43">
                  <c:v>182.75</c:v>
                </c:pt>
                <c:pt idx="44">
                  <c:v>187</c:v>
                </c:pt>
                <c:pt idx="45">
                  <c:v>191.25</c:v>
                </c:pt>
                <c:pt idx="46">
                  <c:v>195.5</c:v>
                </c:pt>
                <c:pt idx="47">
                  <c:v>199.75</c:v>
                </c:pt>
                <c:pt idx="48">
                  <c:v>204</c:v>
                </c:pt>
                <c:pt idx="49">
                  <c:v>208.25</c:v>
                </c:pt>
                <c:pt idx="50">
                  <c:v>212.5</c:v>
                </c:pt>
                <c:pt idx="51">
                  <c:v>216.75</c:v>
                </c:pt>
                <c:pt idx="52">
                  <c:v>221</c:v>
                </c:pt>
                <c:pt idx="53">
                  <c:v>225.25</c:v>
                </c:pt>
                <c:pt idx="54">
                  <c:v>229.5</c:v>
                </c:pt>
                <c:pt idx="55">
                  <c:v>233.75</c:v>
                </c:pt>
                <c:pt idx="56">
                  <c:v>238</c:v>
                </c:pt>
                <c:pt idx="57">
                  <c:v>242.25</c:v>
                </c:pt>
                <c:pt idx="58">
                  <c:v>246.5</c:v>
                </c:pt>
                <c:pt idx="59">
                  <c:v>250.75</c:v>
                </c:pt>
                <c:pt idx="60">
                  <c:v>255</c:v>
                </c:pt>
                <c:pt idx="61">
                  <c:v>259.25</c:v>
                </c:pt>
                <c:pt idx="62">
                  <c:v>263.5</c:v>
                </c:pt>
                <c:pt idx="63">
                  <c:v>267.75</c:v>
                </c:pt>
                <c:pt idx="64">
                  <c:v>272</c:v>
                </c:pt>
                <c:pt idx="65">
                  <c:v>276.25</c:v>
                </c:pt>
                <c:pt idx="66">
                  <c:v>280.5</c:v>
                </c:pt>
                <c:pt idx="67">
                  <c:v>284.75</c:v>
                </c:pt>
              </c:numCache>
            </c:numRef>
          </c:xVal>
          <c:yVal>
            <c:numRef>
              <c:f>Sheet1!$G$2:$G$69</c:f>
              <c:numCache>
                <c:formatCode>0.00\ "v"</c:formatCode>
                <c:ptCount val="68"/>
                <c:pt idx="0">
                  <c:v>0.49</c:v>
                </c:pt>
                <c:pt idx="1">
                  <c:v>1.24</c:v>
                </c:pt>
                <c:pt idx="2">
                  <c:v>2.78</c:v>
                </c:pt>
                <c:pt idx="3">
                  <c:v>3.31</c:v>
                </c:pt>
                <c:pt idx="4">
                  <c:v>3.82</c:v>
                </c:pt>
                <c:pt idx="5">
                  <c:v>5</c:v>
                </c:pt>
                <c:pt idx="6">
                  <c:v>4.76</c:v>
                </c:pt>
                <c:pt idx="7">
                  <c:v>3.82</c:v>
                </c:pt>
                <c:pt idx="8">
                  <c:v>2.88</c:v>
                </c:pt>
                <c:pt idx="9">
                  <c:v>1</c:v>
                </c:pt>
                <c:pt idx="10">
                  <c:v>0.14000000000000001</c:v>
                </c:pt>
                <c:pt idx="11">
                  <c:v>0</c:v>
                </c:pt>
                <c:pt idx="12">
                  <c:v>0.55000000000000004</c:v>
                </c:pt>
                <c:pt idx="13">
                  <c:v>1.24</c:v>
                </c:pt>
                <c:pt idx="14">
                  <c:v>2</c:v>
                </c:pt>
                <c:pt idx="15">
                  <c:v>3.27</c:v>
                </c:pt>
                <c:pt idx="16">
                  <c:v>3.76</c:v>
                </c:pt>
                <c:pt idx="17">
                  <c:v>4.71</c:v>
                </c:pt>
                <c:pt idx="18">
                  <c:v>5</c:v>
                </c:pt>
                <c:pt idx="19">
                  <c:v>3.9</c:v>
                </c:pt>
                <c:pt idx="20">
                  <c:v>2.98</c:v>
                </c:pt>
                <c:pt idx="21">
                  <c:v>2.02</c:v>
                </c:pt>
                <c:pt idx="22">
                  <c:v>0.18</c:v>
                </c:pt>
                <c:pt idx="23">
                  <c:v>0</c:v>
                </c:pt>
                <c:pt idx="24">
                  <c:v>0</c:v>
                </c:pt>
                <c:pt idx="25">
                  <c:v>0.49</c:v>
                </c:pt>
                <c:pt idx="26">
                  <c:v>1.94</c:v>
                </c:pt>
                <c:pt idx="27">
                  <c:v>2.67</c:v>
                </c:pt>
                <c:pt idx="28">
                  <c:v>3.27</c:v>
                </c:pt>
                <c:pt idx="29">
                  <c:v>4.71</c:v>
                </c:pt>
                <c:pt idx="30">
                  <c:v>5</c:v>
                </c:pt>
                <c:pt idx="31">
                  <c:v>4.8600000000000003</c:v>
                </c:pt>
                <c:pt idx="32">
                  <c:v>3</c:v>
                </c:pt>
                <c:pt idx="33">
                  <c:v>2.06</c:v>
                </c:pt>
                <c:pt idx="34">
                  <c:v>1.1000000000000001</c:v>
                </c:pt>
                <c:pt idx="35">
                  <c:v>0.18</c:v>
                </c:pt>
                <c:pt idx="36">
                  <c:v>0</c:v>
                </c:pt>
                <c:pt idx="37">
                  <c:v>0.47</c:v>
                </c:pt>
                <c:pt idx="38">
                  <c:v>1.1200000000000001</c:v>
                </c:pt>
                <c:pt idx="39">
                  <c:v>2.65</c:v>
                </c:pt>
                <c:pt idx="40">
                  <c:v>3.25</c:v>
                </c:pt>
                <c:pt idx="41">
                  <c:v>3.76</c:v>
                </c:pt>
                <c:pt idx="42">
                  <c:v>4.63</c:v>
                </c:pt>
                <c:pt idx="43">
                  <c:v>4.8600000000000003</c:v>
                </c:pt>
                <c:pt idx="44">
                  <c:v>3.98</c:v>
                </c:pt>
                <c:pt idx="45">
                  <c:v>3.06</c:v>
                </c:pt>
                <c:pt idx="46">
                  <c:v>1.22</c:v>
                </c:pt>
                <c:pt idx="47">
                  <c:v>0.27</c:v>
                </c:pt>
                <c:pt idx="48">
                  <c:v>0</c:v>
                </c:pt>
                <c:pt idx="49">
                  <c:v>0.45</c:v>
                </c:pt>
                <c:pt idx="50">
                  <c:v>1.1000000000000001</c:v>
                </c:pt>
                <c:pt idx="51">
                  <c:v>1.88</c:v>
                </c:pt>
                <c:pt idx="52">
                  <c:v>2.63</c:v>
                </c:pt>
                <c:pt idx="53">
                  <c:v>3.76</c:v>
                </c:pt>
                <c:pt idx="54">
                  <c:v>4.57</c:v>
                </c:pt>
                <c:pt idx="55">
                  <c:v>5</c:v>
                </c:pt>
                <c:pt idx="56">
                  <c:v>4.0599999999999996</c:v>
                </c:pt>
                <c:pt idx="57">
                  <c:v>3.12</c:v>
                </c:pt>
                <c:pt idx="58">
                  <c:v>2.2000000000000002</c:v>
                </c:pt>
                <c:pt idx="59">
                  <c:v>0.28999999999999998</c:v>
                </c:pt>
                <c:pt idx="60">
                  <c:v>0</c:v>
                </c:pt>
                <c:pt idx="61">
                  <c:v>0</c:v>
                </c:pt>
                <c:pt idx="62">
                  <c:v>0.43</c:v>
                </c:pt>
                <c:pt idx="63">
                  <c:v>1.88</c:v>
                </c:pt>
                <c:pt idx="64">
                  <c:v>2.57</c:v>
                </c:pt>
                <c:pt idx="65">
                  <c:v>3.2</c:v>
                </c:pt>
                <c:pt idx="66">
                  <c:v>4.53</c:v>
                </c:pt>
                <c:pt idx="6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77-4025-995A-93945E0F3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275128"/>
        <c:axId val="606275784"/>
      </c:scatterChart>
      <c:valAx>
        <c:axId val="606275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μ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75784"/>
        <c:crosses val="autoZero"/>
        <c:crossBetween val="midCat"/>
      </c:valAx>
      <c:valAx>
        <c:axId val="6062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v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75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'CH2 DStream'!$G$1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'CH2 DStream'!$F$2:$F$201</c:f>
              <c:numCache>
                <c:formatCode>#,##0\ "μs"</c:formatCode>
                <c:ptCount val="200"/>
                <c:pt idx="0">
                  <c:v>0</c:v>
                </c:pt>
                <c:pt idx="1">
                  <c:v>26.16</c:v>
                </c:pt>
                <c:pt idx="2">
                  <c:v>52.32</c:v>
                </c:pt>
                <c:pt idx="3">
                  <c:v>78.48</c:v>
                </c:pt>
                <c:pt idx="4">
                  <c:v>104.64</c:v>
                </c:pt>
                <c:pt idx="5">
                  <c:v>130.80000000000001</c:v>
                </c:pt>
                <c:pt idx="6">
                  <c:v>156.96</c:v>
                </c:pt>
                <c:pt idx="7">
                  <c:v>183.12</c:v>
                </c:pt>
                <c:pt idx="8">
                  <c:v>209.28</c:v>
                </c:pt>
                <c:pt idx="9">
                  <c:v>235.44</c:v>
                </c:pt>
                <c:pt idx="10">
                  <c:v>261.60000000000002</c:v>
                </c:pt>
                <c:pt idx="11">
                  <c:v>287.76</c:v>
                </c:pt>
                <c:pt idx="12">
                  <c:v>313.92</c:v>
                </c:pt>
                <c:pt idx="13">
                  <c:v>340.8</c:v>
                </c:pt>
                <c:pt idx="14">
                  <c:v>366.24</c:v>
                </c:pt>
                <c:pt idx="15">
                  <c:v>392.4</c:v>
                </c:pt>
                <c:pt idx="16">
                  <c:v>418.56</c:v>
                </c:pt>
                <c:pt idx="17">
                  <c:v>444.72</c:v>
                </c:pt>
                <c:pt idx="18">
                  <c:v>470.88</c:v>
                </c:pt>
                <c:pt idx="19">
                  <c:v>497.4</c:v>
                </c:pt>
                <c:pt idx="20">
                  <c:v>523.20000000000005</c:v>
                </c:pt>
                <c:pt idx="21">
                  <c:v>549.36</c:v>
                </c:pt>
                <c:pt idx="22">
                  <c:v>575.52</c:v>
                </c:pt>
                <c:pt idx="23">
                  <c:v>601.67999999999995</c:v>
                </c:pt>
                <c:pt idx="24">
                  <c:v>627.84</c:v>
                </c:pt>
                <c:pt idx="25">
                  <c:v>654</c:v>
                </c:pt>
                <c:pt idx="26">
                  <c:v>680.16</c:v>
                </c:pt>
                <c:pt idx="27">
                  <c:v>706.32</c:v>
                </c:pt>
                <c:pt idx="28">
                  <c:v>732.48</c:v>
                </c:pt>
                <c:pt idx="29">
                  <c:v>758.64</c:v>
                </c:pt>
                <c:pt idx="30">
                  <c:v>784.8</c:v>
                </c:pt>
                <c:pt idx="31">
                  <c:v>810.96</c:v>
                </c:pt>
                <c:pt idx="32">
                  <c:v>837.12</c:v>
                </c:pt>
                <c:pt idx="33">
                  <c:v>863.28</c:v>
                </c:pt>
                <c:pt idx="34">
                  <c:v>889.44</c:v>
                </c:pt>
                <c:pt idx="35">
                  <c:v>915.6</c:v>
                </c:pt>
                <c:pt idx="36">
                  <c:v>941.76</c:v>
                </c:pt>
                <c:pt idx="37">
                  <c:v>967.92</c:v>
                </c:pt>
                <c:pt idx="38">
                  <c:v>994.8</c:v>
                </c:pt>
                <c:pt idx="39">
                  <c:v>1020.24</c:v>
                </c:pt>
                <c:pt idx="40">
                  <c:v>1046.4000000000001</c:v>
                </c:pt>
                <c:pt idx="41">
                  <c:v>1072.56</c:v>
                </c:pt>
                <c:pt idx="42">
                  <c:v>1098.72</c:v>
                </c:pt>
                <c:pt idx="43">
                  <c:v>1124.8800000000001</c:v>
                </c:pt>
                <c:pt idx="44">
                  <c:v>1151.4000000000001</c:v>
                </c:pt>
                <c:pt idx="45">
                  <c:v>1177.2</c:v>
                </c:pt>
                <c:pt idx="46">
                  <c:v>1203.3599999999999</c:v>
                </c:pt>
                <c:pt idx="47">
                  <c:v>1229.52</c:v>
                </c:pt>
                <c:pt idx="48">
                  <c:v>1255.68</c:v>
                </c:pt>
                <c:pt idx="49">
                  <c:v>1281.8399999999999</c:v>
                </c:pt>
                <c:pt idx="50">
                  <c:v>1308</c:v>
                </c:pt>
                <c:pt idx="51">
                  <c:v>1334.16</c:v>
                </c:pt>
                <c:pt idx="52">
                  <c:v>1360.32</c:v>
                </c:pt>
                <c:pt idx="53">
                  <c:v>1386.48</c:v>
                </c:pt>
                <c:pt idx="54">
                  <c:v>1412.64</c:v>
                </c:pt>
                <c:pt idx="55">
                  <c:v>1438.8</c:v>
                </c:pt>
                <c:pt idx="56">
                  <c:v>1464.96</c:v>
                </c:pt>
                <c:pt idx="57">
                  <c:v>1491.12</c:v>
                </c:pt>
                <c:pt idx="58">
                  <c:v>1517.28</c:v>
                </c:pt>
                <c:pt idx="59">
                  <c:v>1543.44</c:v>
                </c:pt>
                <c:pt idx="60">
                  <c:v>1569.6</c:v>
                </c:pt>
                <c:pt idx="61">
                  <c:v>1595.76</c:v>
                </c:pt>
                <c:pt idx="62">
                  <c:v>1621.92</c:v>
                </c:pt>
                <c:pt idx="63">
                  <c:v>1648.8</c:v>
                </c:pt>
                <c:pt idx="64">
                  <c:v>1674.24</c:v>
                </c:pt>
                <c:pt idx="65">
                  <c:v>1700.4</c:v>
                </c:pt>
                <c:pt idx="66">
                  <c:v>1726.56</c:v>
                </c:pt>
                <c:pt idx="67">
                  <c:v>1752.72</c:v>
                </c:pt>
                <c:pt idx="68">
                  <c:v>1778.88</c:v>
                </c:pt>
                <c:pt idx="69">
                  <c:v>1805.4</c:v>
                </c:pt>
                <c:pt idx="70">
                  <c:v>1831.2</c:v>
                </c:pt>
                <c:pt idx="71">
                  <c:v>1857.36</c:v>
                </c:pt>
                <c:pt idx="72">
                  <c:v>1883.52</c:v>
                </c:pt>
                <c:pt idx="73">
                  <c:v>1909.68</c:v>
                </c:pt>
                <c:pt idx="74">
                  <c:v>1935.84</c:v>
                </c:pt>
                <c:pt idx="75">
                  <c:v>1962</c:v>
                </c:pt>
                <c:pt idx="76">
                  <c:v>1988.16</c:v>
                </c:pt>
                <c:pt idx="77">
                  <c:v>2014.32</c:v>
                </c:pt>
                <c:pt idx="78">
                  <c:v>2040.48</c:v>
                </c:pt>
                <c:pt idx="79">
                  <c:v>2066.64</c:v>
                </c:pt>
                <c:pt idx="80">
                  <c:v>2092.8000000000002</c:v>
                </c:pt>
                <c:pt idx="81">
                  <c:v>2118.96</c:v>
                </c:pt>
                <c:pt idx="82">
                  <c:v>2145.12</c:v>
                </c:pt>
                <c:pt idx="83">
                  <c:v>2171.2800000000002</c:v>
                </c:pt>
                <c:pt idx="84">
                  <c:v>2197.44</c:v>
                </c:pt>
                <c:pt idx="85">
                  <c:v>2223.6</c:v>
                </c:pt>
                <c:pt idx="86">
                  <c:v>2249.7600000000002</c:v>
                </c:pt>
                <c:pt idx="87">
                  <c:v>2275.92</c:v>
                </c:pt>
                <c:pt idx="88">
                  <c:v>2302.8000000000002</c:v>
                </c:pt>
                <c:pt idx="89">
                  <c:v>2328.2399999999998</c:v>
                </c:pt>
                <c:pt idx="90">
                  <c:v>2354.4</c:v>
                </c:pt>
                <c:pt idx="91">
                  <c:v>2380.56</c:v>
                </c:pt>
                <c:pt idx="92">
                  <c:v>2406.7199999999998</c:v>
                </c:pt>
                <c:pt idx="93">
                  <c:v>2432.88</c:v>
                </c:pt>
                <c:pt idx="94">
                  <c:v>2459.4</c:v>
                </c:pt>
                <c:pt idx="95">
                  <c:v>2485.1999999999998</c:v>
                </c:pt>
                <c:pt idx="96">
                  <c:v>2511.36</c:v>
                </c:pt>
                <c:pt idx="97">
                  <c:v>2537.52</c:v>
                </c:pt>
                <c:pt idx="98">
                  <c:v>2563.6799999999998</c:v>
                </c:pt>
                <c:pt idx="99">
                  <c:v>2589.84</c:v>
                </c:pt>
                <c:pt idx="100">
                  <c:v>2616</c:v>
                </c:pt>
                <c:pt idx="101">
                  <c:v>2642.16</c:v>
                </c:pt>
                <c:pt idx="102">
                  <c:v>2668.32</c:v>
                </c:pt>
                <c:pt idx="103">
                  <c:v>2694.48</c:v>
                </c:pt>
                <c:pt idx="104">
                  <c:v>2720.64</c:v>
                </c:pt>
                <c:pt idx="105">
                  <c:v>2746.8</c:v>
                </c:pt>
                <c:pt idx="106">
                  <c:v>2772.96</c:v>
                </c:pt>
                <c:pt idx="107">
                  <c:v>2799.12</c:v>
                </c:pt>
                <c:pt idx="108">
                  <c:v>2825.28</c:v>
                </c:pt>
                <c:pt idx="109">
                  <c:v>2851.44</c:v>
                </c:pt>
                <c:pt idx="110">
                  <c:v>2877.6</c:v>
                </c:pt>
                <c:pt idx="111">
                  <c:v>2903.76</c:v>
                </c:pt>
                <c:pt idx="112">
                  <c:v>2929.92</c:v>
                </c:pt>
                <c:pt idx="113">
                  <c:v>2956.8</c:v>
                </c:pt>
                <c:pt idx="114">
                  <c:v>2982.24</c:v>
                </c:pt>
                <c:pt idx="115">
                  <c:v>3008.4</c:v>
                </c:pt>
                <c:pt idx="116">
                  <c:v>3034.56</c:v>
                </c:pt>
                <c:pt idx="117">
                  <c:v>3060.72</c:v>
                </c:pt>
                <c:pt idx="118">
                  <c:v>3086.88</c:v>
                </c:pt>
                <c:pt idx="119">
                  <c:v>3113.4</c:v>
                </c:pt>
                <c:pt idx="120">
                  <c:v>3139.2</c:v>
                </c:pt>
                <c:pt idx="121">
                  <c:v>3165.36</c:v>
                </c:pt>
                <c:pt idx="122">
                  <c:v>3191.52</c:v>
                </c:pt>
                <c:pt idx="123">
                  <c:v>3217.68</c:v>
                </c:pt>
                <c:pt idx="124">
                  <c:v>3243.84</c:v>
                </c:pt>
                <c:pt idx="125">
                  <c:v>3270</c:v>
                </c:pt>
                <c:pt idx="126">
                  <c:v>3296.16</c:v>
                </c:pt>
                <c:pt idx="127">
                  <c:v>3322.32</c:v>
                </c:pt>
                <c:pt idx="128">
                  <c:v>3348.48</c:v>
                </c:pt>
                <c:pt idx="129">
                  <c:v>3374.64</c:v>
                </c:pt>
                <c:pt idx="130">
                  <c:v>3400.8</c:v>
                </c:pt>
                <c:pt idx="131">
                  <c:v>3426.96</c:v>
                </c:pt>
                <c:pt idx="132">
                  <c:v>3453.12</c:v>
                </c:pt>
                <c:pt idx="133">
                  <c:v>3479.28</c:v>
                </c:pt>
                <c:pt idx="134">
                  <c:v>3505.44</c:v>
                </c:pt>
                <c:pt idx="135">
                  <c:v>3531.6</c:v>
                </c:pt>
                <c:pt idx="136">
                  <c:v>3557.76</c:v>
                </c:pt>
                <c:pt idx="137">
                  <c:v>3583.92</c:v>
                </c:pt>
                <c:pt idx="138">
                  <c:v>3610.8</c:v>
                </c:pt>
                <c:pt idx="139">
                  <c:v>3636.24</c:v>
                </c:pt>
                <c:pt idx="140">
                  <c:v>3662.4</c:v>
                </c:pt>
                <c:pt idx="141">
                  <c:v>3688.56</c:v>
                </c:pt>
                <c:pt idx="142">
                  <c:v>3714.72</c:v>
                </c:pt>
                <c:pt idx="143">
                  <c:v>3740.88</c:v>
                </c:pt>
                <c:pt idx="144">
                  <c:v>3767.4</c:v>
                </c:pt>
                <c:pt idx="145">
                  <c:v>3793.2</c:v>
                </c:pt>
                <c:pt idx="146">
                  <c:v>3819.36</c:v>
                </c:pt>
                <c:pt idx="147">
                  <c:v>3845.52</c:v>
                </c:pt>
                <c:pt idx="148">
                  <c:v>3871.68</c:v>
                </c:pt>
                <c:pt idx="149">
                  <c:v>3897.84</c:v>
                </c:pt>
                <c:pt idx="150">
                  <c:v>3924</c:v>
                </c:pt>
                <c:pt idx="151">
                  <c:v>3950.16</c:v>
                </c:pt>
                <c:pt idx="152">
                  <c:v>3976.32</c:v>
                </c:pt>
                <c:pt idx="153">
                  <c:v>4002.48</c:v>
                </c:pt>
                <c:pt idx="154">
                  <c:v>4028.64</c:v>
                </c:pt>
                <c:pt idx="155">
                  <c:v>4054.8</c:v>
                </c:pt>
                <c:pt idx="156">
                  <c:v>4080.96</c:v>
                </c:pt>
                <c:pt idx="157">
                  <c:v>4107.12</c:v>
                </c:pt>
                <c:pt idx="158">
                  <c:v>4133.28</c:v>
                </c:pt>
                <c:pt idx="159">
                  <c:v>4159.4399999999996</c:v>
                </c:pt>
                <c:pt idx="160">
                  <c:v>4185.6000000000004</c:v>
                </c:pt>
                <c:pt idx="161">
                  <c:v>4211.76</c:v>
                </c:pt>
                <c:pt idx="162">
                  <c:v>4237.92</c:v>
                </c:pt>
                <c:pt idx="163">
                  <c:v>4264.8</c:v>
                </c:pt>
                <c:pt idx="164">
                  <c:v>4290.24</c:v>
                </c:pt>
                <c:pt idx="165">
                  <c:v>4316.3999999999996</c:v>
                </c:pt>
                <c:pt idx="166">
                  <c:v>4342.5600000000004</c:v>
                </c:pt>
                <c:pt idx="167">
                  <c:v>4368.72</c:v>
                </c:pt>
                <c:pt idx="168">
                  <c:v>4394.88</c:v>
                </c:pt>
                <c:pt idx="169">
                  <c:v>4421.3999999999996</c:v>
                </c:pt>
                <c:pt idx="170">
                  <c:v>4447.2</c:v>
                </c:pt>
                <c:pt idx="171">
                  <c:v>4473.3599999999997</c:v>
                </c:pt>
                <c:pt idx="172">
                  <c:v>4499.5200000000004</c:v>
                </c:pt>
                <c:pt idx="173">
                  <c:v>4525.68</c:v>
                </c:pt>
                <c:pt idx="174">
                  <c:v>4551.84</c:v>
                </c:pt>
                <c:pt idx="175">
                  <c:v>4578</c:v>
                </c:pt>
                <c:pt idx="176">
                  <c:v>4604.16</c:v>
                </c:pt>
                <c:pt idx="177">
                  <c:v>4630.32</c:v>
                </c:pt>
                <c:pt idx="178">
                  <c:v>4656.4799999999996</c:v>
                </c:pt>
                <c:pt idx="179">
                  <c:v>4682.6400000000003</c:v>
                </c:pt>
                <c:pt idx="180">
                  <c:v>4708.8</c:v>
                </c:pt>
                <c:pt idx="181">
                  <c:v>4734.96</c:v>
                </c:pt>
                <c:pt idx="182">
                  <c:v>4761.12</c:v>
                </c:pt>
                <c:pt idx="183">
                  <c:v>4787.28</c:v>
                </c:pt>
                <c:pt idx="184">
                  <c:v>4813.4399999999996</c:v>
                </c:pt>
                <c:pt idx="185">
                  <c:v>4839.6000000000004</c:v>
                </c:pt>
                <c:pt idx="186">
                  <c:v>4865.76</c:v>
                </c:pt>
                <c:pt idx="187">
                  <c:v>4891.92</c:v>
                </c:pt>
                <c:pt idx="188">
                  <c:v>4918.8</c:v>
                </c:pt>
                <c:pt idx="189">
                  <c:v>4944.24</c:v>
                </c:pt>
                <c:pt idx="190">
                  <c:v>4970.3999999999996</c:v>
                </c:pt>
                <c:pt idx="191">
                  <c:v>4996.5600000000004</c:v>
                </c:pt>
                <c:pt idx="192">
                  <c:v>5022.72</c:v>
                </c:pt>
                <c:pt idx="193">
                  <c:v>5048.88</c:v>
                </c:pt>
                <c:pt idx="194">
                  <c:v>5075.3999999999996</c:v>
                </c:pt>
                <c:pt idx="195">
                  <c:v>5101.2</c:v>
                </c:pt>
                <c:pt idx="196">
                  <c:v>5127.3599999999997</c:v>
                </c:pt>
                <c:pt idx="197">
                  <c:v>5153.5200000000004</c:v>
                </c:pt>
                <c:pt idx="198">
                  <c:v>5179.68</c:v>
                </c:pt>
                <c:pt idx="199">
                  <c:v>5205.84</c:v>
                </c:pt>
              </c:numCache>
            </c:numRef>
          </c:xVal>
          <c:yVal>
            <c:numRef>
              <c:f>'CH2 DStream'!$G$2:$G$201</c:f>
              <c:numCache>
                <c:formatCode>0.00\ "v"</c:formatCode>
                <c:ptCount val="200"/>
                <c:pt idx="0">
                  <c:v>0.51</c:v>
                </c:pt>
                <c:pt idx="1">
                  <c:v>0.63</c:v>
                </c:pt>
                <c:pt idx="2">
                  <c:v>0.8</c:v>
                </c:pt>
                <c:pt idx="3">
                  <c:v>1.06</c:v>
                </c:pt>
                <c:pt idx="4">
                  <c:v>1.31</c:v>
                </c:pt>
                <c:pt idx="5">
                  <c:v>1.59</c:v>
                </c:pt>
                <c:pt idx="6">
                  <c:v>1.84</c:v>
                </c:pt>
                <c:pt idx="7">
                  <c:v>2.1</c:v>
                </c:pt>
                <c:pt idx="8">
                  <c:v>2.31</c:v>
                </c:pt>
                <c:pt idx="9">
                  <c:v>2.5299999999999998</c:v>
                </c:pt>
                <c:pt idx="10">
                  <c:v>2.71</c:v>
                </c:pt>
                <c:pt idx="11">
                  <c:v>2.88</c:v>
                </c:pt>
                <c:pt idx="12">
                  <c:v>3.04</c:v>
                </c:pt>
                <c:pt idx="13">
                  <c:v>3.2</c:v>
                </c:pt>
                <c:pt idx="14">
                  <c:v>3.31</c:v>
                </c:pt>
                <c:pt idx="15">
                  <c:v>3.43</c:v>
                </c:pt>
                <c:pt idx="16">
                  <c:v>3.53</c:v>
                </c:pt>
                <c:pt idx="17">
                  <c:v>3.63</c:v>
                </c:pt>
                <c:pt idx="18">
                  <c:v>3.69</c:v>
                </c:pt>
                <c:pt idx="19">
                  <c:v>3.75</c:v>
                </c:pt>
                <c:pt idx="20">
                  <c:v>3.73</c:v>
                </c:pt>
                <c:pt idx="21">
                  <c:v>3.63</c:v>
                </c:pt>
                <c:pt idx="22">
                  <c:v>3.37</c:v>
                </c:pt>
                <c:pt idx="23">
                  <c:v>2.94</c:v>
                </c:pt>
                <c:pt idx="24">
                  <c:v>2.33</c:v>
                </c:pt>
                <c:pt idx="25">
                  <c:v>1.61</c:v>
                </c:pt>
                <c:pt idx="26">
                  <c:v>0.9</c:v>
                </c:pt>
                <c:pt idx="27">
                  <c:v>0.43</c:v>
                </c:pt>
                <c:pt idx="28">
                  <c:v>0.45</c:v>
                </c:pt>
                <c:pt idx="29">
                  <c:v>0.47</c:v>
                </c:pt>
                <c:pt idx="30">
                  <c:v>0.56999999999999995</c:v>
                </c:pt>
                <c:pt idx="31">
                  <c:v>0.73</c:v>
                </c:pt>
                <c:pt idx="32">
                  <c:v>0.96</c:v>
                </c:pt>
                <c:pt idx="33">
                  <c:v>1.22</c:v>
                </c:pt>
                <c:pt idx="34">
                  <c:v>1.49</c:v>
                </c:pt>
                <c:pt idx="35">
                  <c:v>1.75</c:v>
                </c:pt>
                <c:pt idx="36">
                  <c:v>2</c:v>
                </c:pt>
                <c:pt idx="37">
                  <c:v>2.2400000000000002</c:v>
                </c:pt>
                <c:pt idx="38">
                  <c:v>2.4500000000000002</c:v>
                </c:pt>
                <c:pt idx="39">
                  <c:v>2.65</c:v>
                </c:pt>
                <c:pt idx="40">
                  <c:v>2.82</c:v>
                </c:pt>
                <c:pt idx="41">
                  <c:v>2.98</c:v>
                </c:pt>
                <c:pt idx="42">
                  <c:v>3.14</c:v>
                </c:pt>
                <c:pt idx="43">
                  <c:v>3.27</c:v>
                </c:pt>
                <c:pt idx="44">
                  <c:v>3.39</c:v>
                </c:pt>
                <c:pt idx="45">
                  <c:v>3.51</c:v>
                </c:pt>
                <c:pt idx="46">
                  <c:v>3.59</c:v>
                </c:pt>
                <c:pt idx="47">
                  <c:v>3.67</c:v>
                </c:pt>
                <c:pt idx="48">
                  <c:v>3.73</c:v>
                </c:pt>
                <c:pt idx="49">
                  <c:v>3.73</c:v>
                </c:pt>
                <c:pt idx="50">
                  <c:v>3.65</c:v>
                </c:pt>
                <c:pt idx="51">
                  <c:v>3.45</c:v>
                </c:pt>
                <c:pt idx="52">
                  <c:v>3.08</c:v>
                </c:pt>
                <c:pt idx="53">
                  <c:v>2.4900000000000002</c:v>
                </c:pt>
                <c:pt idx="54">
                  <c:v>1.8</c:v>
                </c:pt>
                <c:pt idx="55">
                  <c:v>1.08</c:v>
                </c:pt>
                <c:pt idx="56">
                  <c:v>0.47</c:v>
                </c:pt>
                <c:pt idx="57">
                  <c:v>0.43</c:v>
                </c:pt>
                <c:pt idx="58">
                  <c:v>0.47</c:v>
                </c:pt>
                <c:pt idx="59">
                  <c:v>0.53</c:v>
                </c:pt>
                <c:pt idx="60">
                  <c:v>0.67</c:v>
                </c:pt>
                <c:pt idx="61">
                  <c:v>0.86</c:v>
                </c:pt>
                <c:pt idx="62">
                  <c:v>1.1200000000000001</c:v>
                </c:pt>
                <c:pt idx="63">
                  <c:v>1.39</c:v>
                </c:pt>
                <c:pt idx="64">
                  <c:v>1.65</c:v>
                </c:pt>
                <c:pt idx="65">
                  <c:v>1.9</c:v>
                </c:pt>
                <c:pt idx="66">
                  <c:v>2.16</c:v>
                </c:pt>
                <c:pt idx="67">
                  <c:v>2.37</c:v>
                </c:pt>
                <c:pt idx="68">
                  <c:v>2.59</c:v>
                </c:pt>
                <c:pt idx="69">
                  <c:v>2.76</c:v>
                </c:pt>
                <c:pt idx="70">
                  <c:v>2.94</c:v>
                </c:pt>
                <c:pt idx="71">
                  <c:v>3.1</c:v>
                </c:pt>
                <c:pt idx="72">
                  <c:v>3.22</c:v>
                </c:pt>
                <c:pt idx="73">
                  <c:v>3.35</c:v>
                </c:pt>
                <c:pt idx="74">
                  <c:v>3.47</c:v>
                </c:pt>
                <c:pt idx="75">
                  <c:v>3.57</c:v>
                </c:pt>
                <c:pt idx="76">
                  <c:v>3.65</c:v>
                </c:pt>
                <c:pt idx="77">
                  <c:v>3.71</c:v>
                </c:pt>
                <c:pt idx="78">
                  <c:v>3.73</c:v>
                </c:pt>
                <c:pt idx="79">
                  <c:v>3.69</c:v>
                </c:pt>
                <c:pt idx="80">
                  <c:v>3.53</c:v>
                </c:pt>
                <c:pt idx="81">
                  <c:v>3.18</c:v>
                </c:pt>
                <c:pt idx="82">
                  <c:v>2.65</c:v>
                </c:pt>
                <c:pt idx="83">
                  <c:v>1.96</c:v>
                </c:pt>
                <c:pt idx="84">
                  <c:v>1.24</c:v>
                </c:pt>
                <c:pt idx="85">
                  <c:v>0.56999999999999995</c:v>
                </c:pt>
                <c:pt idx="86">
                  <c:v>0.43</c:v>
                </c:pt>
                <c:pt idx="87">
                  <c:v>0.45</c:v>
                </c:pt>
                <c:pt idx="88">
                  <c:v>0.51</c:v>
                </c:pt>
                <c:pt idx="89">
                  <c:v>0.63</c:v>
                </c:pt>
                <c:pt idx="90">
                  <c:v>0.82</c:v>
                </c:pt>
                <c:pt idx="91">
                  <c:v>1.06</c:v>
                </c:pt>
                <c:pt idx="92">
                  <c:v>1.31</c:v>
                </c:pt>
                <c:pt idx="93">
                  <c:v>1.59</c:v>
                </c:pt>
                <c:pt idx="94">
                  <c:v>1.84</c:v>
                </c:pt>
                <c:pt idx="95">
                  <c:v>2.1</c:v>
                </c:pt>
                <c:pt idx="96">
                  <c:v>2.33</c:v>
                </c:pt>
                <c:pt idx="97">
                  <c:v>2.5299999999999998</c:v>
                </c:pt>
                <c:pt idx="98">
                  <c:v>2.73</c:v>
                </c:pt>
                <c:pt idx="99">
                  <c:v>2.9</c:v>
                </c:pt>
                <c:pt idx="100">
                  <c:v>3.06</c:v>
                </c:pt>
                <c:pt idx="101">
                  <c:v>3.2</c:v>
                </c:pt>
                <c:pt idx="102">
                  <c:v>3.31</c:v>
                </c:pt>
                <c:pt idx="103">
                  <c:v>3.43</c:v>
                </c:pt>
                <c:pt idx="104">
                  <c:v>3.55</c:v>
                </c:pt>
                <c:pt idx="105">
                  <c:v>3.63</c:v>
                </c:pt>
                <c:pt idx="106">
                  <c:v>3.69</c:v>
                </c:pt>
                <c:pt idx="107">
                  <c:v>3.73</c:v>
                </c:pt>
                <c:pt idx="108">
                  <c:v>3.73</c:v>
                </c:pt>
                <c:pt idx="109">
                  <c:v>3.61</c:v>
                </c:pt>
                <c:pt idx="110">
                  <c:v>3.35</c:v>
                </c:pt>
                <c:pt idx="111">
                  <c:v>2.88</c:v>
                </c:pt>
                <c:pt idx="112">
                  <c:v>2.25</c:v>
                </c:pt>
                <c:pt idx="113">
                  <c:v>1.53</c:v>
                </c:pt>
                <c:pt idx="114">
                  <c:v>0.82</c:v>
                </c:pt>
                <c:pt idx="115">
                  <c:v>0.43</c:v>
                </c:pt>
                <c:pt idx="116">
                  <c:v>0.45</c:v>
                </c:pt>
                <c:pt idx="117">
                  <c:v>0.49</c:v>
                </c:pt>
                <c:pt idx="118">
                  <c:v>0.56999999999999995</c:v>
                </c:pt>
                <c:pt idx="119">
                  <c:v>0.75</c:v>
                </c:pt>
                <c:pt idx="120">
                  <c:v>0.98</c:v>
                </c:pt>
                <c:pt idx="121">
                  <c:v>1.24</c:v>
                </c:pt>
                <c:pt idx="122">
                  <c:v>1.51</c:v>
                </c:pt>
                <c:pt idx="123">
                  <c:v>1.76</c:v>
                </c:pt>
                <c:pt idx="124">
                  <c:v>2.02</c:v>
                </c:pt>
                <c:pt idx="125">
                  <c:v>2.25</c:v>
                </c:pt>
                <c:pt idx="126">
                  <c:v>2.4700000000000002</c:v>
                </c:pt>
                <c:pt idx="127">
                  <c:v>2.67</c:v>
                </c:pt>
                <c:pt idx="128">
                  <c:v>2.84</c:v>
                </c:pt>
                <c:pt idx="129">
                  <c:v>3</c:v>
                </c:pt>
                <c:pt idx="130">
                  <c:v>3.16</c:v>
                </c:pt>
                <c:pt idx="131">
                  <c:v>3.27</c:v>
                </c:pt>
                <c:pt idx="132">
                  <c:v>3.41</c:v>
                </c:pt>
                <c:pt idx="133">
                  <c:v>3.51</c:v>
                </c:pt>
                <c:pt idx="134">
                  <c:v>3.61</c:v>
                </c:pt>
                <c:pt idx="135">
                  <c:v>3.67</c:v>
                </c:pt>
                <c:pt idx="136">
                  <c:v>3.73</c:v>
                </c:pt>
                <c:pt idx="137">
                  <c:v>3.73</c:v>
                </c:pt>
                <c:pt idx="138">
                  <c:v>3.67</c:v>
                </c:pt>
                <c:pt idx="139">
                  <c:v>3.45</c:v>
                </c:pt>
                <c:pt idx="140">
                  <c:v>3.06</c:v>
                </c:pt>
                <c:pt idx="141">
                  <c:v>2.4900000000000002</c:v>
                </c:pt>
                <c:pt idx="142">
                  <c:v>1.78</c:v>
                </c:pt>
                <c:pt idx="143">
                  <c:v>1.06</c:v>
                </c:pt>
                <c:pt idx="144">
                  <c:v>0.47</c:v>
                </c:pt>
                <c:pt idx="145">
                  <c:v>0.45</c:v>
                </c:pt>
                <c:pt idx="146">
                  <c:v>0.47</c:v>
                </c:pt>
                <c:pt idx="147">
                  <c:v>0.53</c:v>
                </c:pt>
                <c:pt idx="148">
                  <c:v>0.69</c:v>
                </c:pt>
                <c:pt idx="149">
                  <c:v>0.88</c:v>
                </c:pt>
                <c:pt idx="150">
                  <c:v>1.1399999999999999</c:v>
                </c:pt>
                <c:pt idx="151">
                  <c:v>1.41</c:v>
                </c:pt>
                <c:pt idx="152">
                  <c:v>1.69</c:v>
                </c:pt>
                <c:pt idx="153">
                  <c:v>1.94</c:v>
                </c:pt>
                <c:pt idx="154">
                  <c:v>2.1800000000000002</c:v>
                </c:pt>
                <c:pt idx="155">
                  <c:v>2.39</c:v>
                </c:pt>
                <c:pt idx="156">
                  <c:v>2.59</c:v>
                </c:pt>
                <c:pt idx="157">
                  <c:v>2.78</c:v>
                </c:pt>
                <c:pt idx="158">
                  <c:v>2.94</c:v>
                </c:pt>
                <c:pt idx="159">
                  <c:v>3.1</c:v>
                </c:pt>
                <c:pt idx="160">
                  <c:v>3.24</c:v>
                </c:pt>
                <c:pt idx="161">
                  <c:v>3.37</c:v>
                </c:pt>
                <c:pt idx="162">
                  <c:v>3.47</c:v>
                </c:pt>
                <c:pt idx="163">
                  <c:v>3.57</c:v>
                </c:pt>
                <c:pt idx="164">
                  <c:v>3.65</c:v>
                </c:pt>
                <c:pt idx="165">
                  <c:v>3.71</c:v>
                </c:pt>
                <c:pt idx="166">
                  <c:v>3.73</c:v>
                </c:pt>
                <c:pt idx="167">
                  <c:v>3.67</c:v>
                </c:pt>
                <c:pt idx="168">
                  <c:v>3.51</c:v>
                </c:pt>
                <c:pt idx="169">
                  <c:v>3.16</c:v>
                </c:pt>
                <c:pt idx="170">
                  <c:v>2.61</c:v>
                </c:pt>
                <c:pt idx="171">
                  <c:v>1.92</c:v>
                </c:pt>
                <c:pt idx="172">
                  <c:v>1.18</c:v>
                </c:pt>
                <c:pt idx="173">
                  <c:v>0.53</c:v>
                </c:pt>
                <c:pt idx="174">
                  <c:v>0.43</c:v>
                </c:pt>
                <c:pt idx="175">
                  <c:v>0.47</c:v>
                </c:pt>
                <c:pt idx="176">
                  <c:v>0.51</c:v>
                </c:pt>
                <c:pt idx="177">
                  <c:v>0.63</c:v>
                </c:pt>
                <c:pt idx="178">
                  <c:v>0.82</c:v>
                </c:pt>
                <c:pt idx="179">
                  <c:v>1.08</c:v>
                </c:pt>
                <c:pt idx="180">
                  <c:v>1.33</c:v>
                </c:pt>
                <c:pt idx="181">
                  <c:v>1.61</c:v>
                </c:pt>
                <c:pt idx="182">
                  <c:v>1.86</c:v>
                </c:pt>
                <c:pt idx="183">
                  <c:v>2.1</c:v>
                </c:pt>
                <c:pt idx="184">
                  <c:v>2.33</c:v>
                </c:pt>
                <c:pt idx="185">
                  <c:v>2.5499999999999998</c:v>
                </c:pt>
                <c:pt idx="186">
                  <c:v>2.73</c:v>
                </c:pt>
                <c:pt idx="187">
                  <c:v>2.9</c:v>
                </c:pt>
                <c:pt idx="188">
                  <c:v>3.06</c:v>
                </c:pt>
                <c:pt idx="189">
                  <c:v>3.2</c:v>
                </c:pt>
                <c:pt idx="190">
                  <c:v>3.33</c:v>
                </c:pt>
                <c:pt idx="191">
                  <c:v>3.45</c:v>
                </c:pt>
                <c:pt idx="192">
                  <c:v>3.55</c:v>
                </c:pt>
                <c:pt idx="193">
                  <c:v>3.63</c:v>
                </c:pt>
                <c:pt idx="194">
                  <c:v>3.69</c:v>
                </c:pt>
                <c:pt idx="195">
                  <c:v>3.73</c:v>
                </c:pt>
                <c:pt idx="196">
                  <c:v>3.71</c:v>
                </c:pt>
                <c:pt idx="197">
                  <c:v>3.59</c:v>
                </c:pt>
                <c:pt idx="198">
                  <c:v>3.31</c:v>
                </c:pt>
                <c:pt idx="199">
                  <c:v>2.84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D4-460E-9A51-E4D17221C7C7}"/>
            </c:ext>
          </c:extLst>
        </c:ser>
        <c:ser>
          <c:idx val="1"/>
          <c:order val="1"/>
          <c:tx>
            <c:v>Voltage2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'CH2 DStream'!$N$2:$N$201</c:f>
              <c:strCache>
                <c:ptCount val="200"/>
                <c:pt idx="0">
                  <c:v>a</c:v>
                </c:pt>
                <c:pt idx="1">
                  <c:v>a</c:v>
                </c:pt>
                <c:pt idx="2">
                  <c:v>a</c:v>
                </c:pt>
                <c:pt idx="3">
                  <c:v>a</c:v>
                </c:pt>
                <c:pt idx="4">
                  <c:v>a</c:v>
                </c:pt>
                <c:pt idx="5">
                  <c:v>a</c:v>
                </c:pt>
                <c:pt idx="6">
                  <c:v>a</c:v>
                </c:pt>
                <c:pt idx="7">
                  <c:v>a</c:v>
                </c:pt>
                <c:pt idx="8">
                  <c:v>a</c:v>
                </c:pt>
                <c:pt idx="9">
                  <c:v>a</c:v>
                </c:pt>
                <c:pt idx="10">
                  <c:v>a</c:v>
                </c:pt>
                <c:pt idx="11">
                  <c:v>a</c:v>
                </c:pt>
                <c:pt idx="12">
                  <c:v>a</c:v>
                </c:pt>
                <c:pt idx="13">
                  <c:v>a</c:v>
                </c:pt>
                <c:pt idx="14">
                  <c:v>a</c:v>
                </c:pt>
                <c:pt idx="15">
                  <c:v>a</c:v>
                </c:pt>
                <c:pt idx="16">
                  <c:v>a</c:v>
                </c:pt>
                <c:pt idx="17">
                  <c:v>a</c:v>
                </c:pt>
                <c:pt idx="18">
                  <c:v>a</c:v>
                </c:pt>
                <c:pt idx="19">
                  <c:v>a</c:v>
                </c:pt>
                <c:pt idx="20">
                  <c:v>a</c:v>
                </c:pt>
                <c:pt idx="21">
                  <c:v>a</c:v>
                </c:pt>
                <c:pt idx="22">
                  <c:v>a</c:v>
                </c:pt>
                <c:pt idx="23">
                  <c:v>a</c:v>
                </c:pt>
                <c:pt idx="24">
                  <c:v>a</c:v>
                </c:pt>
                <c:pt idx="25">
                  <c:v>a</c:v>
                </c:pt>
                <c:pt idx="26">
                  <c:v>a</c:v>
                </c:pt>
                <c:pt idx="27">
                  <c:v>a</c:v>
                </c:pt>
                <c:pt idx="28">
                  <c:v>a</c:v>
                </c:pt>
                <c:pt idx="29">
                  <c:v>a</c:v>
                </c:pt>
                <c:pt idx="30">
                  <c:v>a</c:v>
                </c:pt>
                <c:pt idx="31">
                  <c:v>a</c:v>
                </c:pt>
                <c:pt idx="32">
                  <c:v>a</c:v>
                </c:pt>
                <c:pt idx="33">
                  <c:v>a</c:v>
                </c:pt>
                <c:pt idx="34">
                  <c:v>a</c:v>
                </c:pt>
                <c:pt idx="35">
                  <c:v>a</c:v>
                </c:pt>
                <c:pt idx="36">
                  <c:v>a</c:v>
                </c:pt>
                <c:pt idx="37">
                  <c:v>a</c:v>
                </c:pt>
                <c:pt idx="38">
                  <c:v>a</c:v>
                </c:pt>
                <c:pt idx="39">
                  <c:v>a</c:v>
                </c:pt>
                <c:pt idx="40">
                  <c:v>a</c:v>
                </c:pt>
                <c:pt idx="41">
                  <c:v>a</c:v>
                </c:pt>
                <c:pt idx="42">
                  <c:v>a</c:v>
                </c:pt>
                <c:pt idx="43">
                  <c:v>a</c:v>
                </c:pt>
                <c:pt idx="44">
                  <c:v>a</c:v>
                </c:pt>
                <c:pt idx="45">
                  <c:v>a</c:v>
                </c:pt>
                <c:pt idx="46">
                  <c:v>a</c:v>
                </c:pt>
                <c:pt idx="47">
                  <c:v>a</c:v>
                </c:pt>
                <c:pt idx="48">
                  <c:v>a</c:v>
                </c:pt>
                <c:pt idx="49">
                  <c:v>a</c:v>
                </c:pt>
                <c:pt idx="50">
                  <c:v>a</c:v>
                </c:pt>
                <c:pt idx="51">
                  <c:v>a</c:v>
                </c:pt>
                <c:pt idx="52">
                  <c:v>a</c:v>
                </c:pt>
                <c:pt idx="53">
                  <c:v>a</c:v>
                </c:pt>
                <c:pt idx="54">
                  <c:v>a</c:v>
                </c:pt>
                <c:pt idx="55">
                  <c:v>a</c:v>
                </c:pt>
                <c:pt idx="56">
                  <c:v>a</c:v>
                </c:pt>
                <c:pt idx="57">
                  <c:v>a</c:v>
                </c:pt>
                <c:pt idx="58">
                  <c:v>a</c:v>
                </c:pt>
                <c:pt idx="59">
                  <c:v>a</c:v>
                </c:pt>
                <c:pt idx="60">
                  <c:v>a</c:v>
                </c:pt>
                <c:pt idx="61">
                  <c:v>a</c:v>
                </c:pt>
                <c:pt idx="62">
                  <c:v>a</c:v>
                </c:pt>
                <c:pt idx="63">
                  <c:v>a</c:v>
                </c:pt>
                <c:pt idx="64">
                  <c:v>a</c:v>
                </c:pt>
                <c:pt idx="65">
                  <c:v>a</c:v>
                </c:pt>
                <c:pt idx="66">
                  <c:v>a</c:v>
                </c:pt>
                <c:pt idx="67">
                  <c:v>a</c:v>
                </c:pt>
                <c:pt idx="68">
                  <c:v>a</c:v>
                </c:pt>
                <c:pt idx="69">
                  <c:v>a</c:v>
                </c:pt>
                <c:pt idx="70">
                  <c:v>a</c:v>
                </c:pt>
                <c:pt idx="71">
                  <c:v>a</c:v>
                </c:pt>
                <c:pt idx="72">
                  <c:v>a</c:v>
                </c:pt>
                <c:pt idx="73">
                  <c:v>a</c:v>
                </c:pt>
                <c:pt idx="74">
                  <c:v>a</c:v>
                </c:pt>
                <c:pt idx="75">
                  <c:v>a</c:v>
                </c:pt>
                <c:pt idx="76">
                  <c:v>a</c:v>
                </c:pt>
                <c:pt idx="77">
                  <c:v>a</c:v>
                </c:pt>
                <c:pt idx="78">
                  <c:v>a</c:v>
                </c:pt>
                <c:pt idx="79">
                  <c:v>a</c:v>
                </c:pt>
                <c:pt idx="80">
                  <c:v>a</c:v>
                </c:pt>
                <c:pt idx="81">
                  <c:v>a</c:v>
                </c:pt>
                <c:pt idx="82">
                  <c:v>a</c:v>
                </c:pt>
                <c:pt idx="83">
                  <c:v>a</c:v>
                </c:pt>
                <c:pt idx="84">
                  <c:v>a</c:v>
                </c:pt>
                <c:pt idx="85">
                  <c:v>a</c:v>
                </c:pt>
                <c:pt idx="86">
                  <c:v>a</c:v>
                </c:pt>
                <c:pt idx="87">
                  <c:v>a</c:v>
                </c:pt>
                <c:pt idx="88">
                  <c:v>a</c:v>
                </c:pt>
                <c:pt idx="89">
                  <c:v>a</c:v>
                </c:pt>
                <c:pt idx="90">
                  <c:v>a</c:v>
                </c:pt>
                <c:pt idx="91">
                  <c:v>a</c:v>
                </c:pt>
                <c:pt idx="92">
                  <c:v>a</c:v>
                </c:pt>
                <c:pt idx="93">
                  <c:v>a</c:v>
                </c:pt>
                <c:pt idx="94">
                  <c:v>a</c:v>
                </c:pt>
                <c:pt idx="95">
                  <c:v>a</c:v>
                </c:pt>
                <c:pt idx="96">
                  <c:v>a</c:v>
                </c:pt>
                <c:pt idx="97">
                  <c:v>a</c:v>
                </c:pt>
                <c:pt idx="98">
                  <c:v>a</c:v>
                </c:pt>
                <c:pt idx="99">
                  <c:v>a</c:v>
                </c:pt>
                <c:pt idx="100">
                  <c:v>a</c:v>
                </c:pt>
                <c:pt idx="101">
                  <c:v>a</c:v>
                </c:pt>
                <c:pt idx="102">
                  <c:v>a</c:v>
                </c:pt>
                <c:pt idx="103">
                  <c:v>a</c:v>
                </c:pt>
                <c:pt idx="104">
                  <c:v>a</c:v>
                </c:pt>
                <c:pt idx="105">
                  <c:v>a</c:v>
                </c:pt>
                <c:pt idx="106">
                  <c:v>a</c:v>
                </c:pt>
                <c:pt idx="107">
                  <c:v>a</c:v>
                </c:pt>
                <c:pt idx="108">
                  <c:v>a</c:v>
                </c:pt>
                <c:pt idx="109">
                  <c:v>a</c:v>
                </c:pt>
                <c:pt idx="110">
                  <c:v>a</c:v>
                </c:pt>
                <c:pt idx="111">
                  <c:v>a</c:v>
                </c:pt>
                <c:pt idx="112">
                  <c:v>a</c:v>
                </c:pt>
                <c:pt idx="113">
                  <c:v>a</c:v>
                </c:pt>
                <c:pt idx="114">
                  <c:v>a</c:v>
                </c:pt>
                <c:pt idx="115">
                  <c:v>a</c:v>
                </c:pt>
                <c:pt idx="116">
                  <c:v>a</c:v>
                </c:pt>
                <c:pt idx="117">
                  <c:v>a</c:v>
                </c:pt>
                <c:pt idx="118">
                  <c:v>a</c:v>
                </c:pt>
                <c:pt idx="119">
                  <c:v>a</c:v>
                </c:pt>
                <c:pt idx="120">
                  <c:v>a</c:v>
                </c:pt>
                <c:pt idx="121">
                  <c:v>a</c:v>
                </c:pt>
                <c:pt idx="122">
                  <c:v>a</c:v>
                </c:pt>
                <c:pt idx="123">
                  <c:v>a</c:v>
                </c:pt>
                <c:pt idx="124">
                  <c:v>a</c:v>
                </c:pt>
                <c:pt idx="125">
                  <c:v>a</c:v>
                </c:pt>
                <c:pt idx="126">
                  <c:v>a</c:v>
                </c:pt>
                <c:pt idx="127">
                  <c:v>a</c:v>
                </c:pt>
                <c:pt idx="128">
                  <c:v>a</c:v>
                </c:pt>
                <c:pt idx="129">
                  <c:v>a</c:v>
                </c:pt>
                <c:pt idx="130">
                  <c:v>a</c:v>
                </c:pt>
                <c:pt idx="131">
                  <c:v>a</c:v>
                </c:pt>
                <c:pt idx="132">
                  <c:v>a</c:v>
                </c:pt>
                <c:pt idx="133">
                  <c:v>a</c:v>
                </c:pt>
                <c:pt idx="134">
                  <c:v>a</c:v>
                </c:pt>
                <c:pt idx="135">
                  <c:v>a</c:v>
                </c:pt>
                <c:pt idx="136">
                  <c:v>a</c:v>
                </c:pt>
                <c:pt idx="137">
                  <c:v>a</c:v>
                </c:pt>
                <c:pt idx="138">
                  <c:v>a</c:v>
                </c:pt>
                <c:pt idx="139">
                  <c:v>a</c:v>
                </c:pt>
                <c:pt idx="140">
                  <c:v>a</c:v>
                </c:pt>
                <c:pt idx="141">
                  <c:v>a</c:v>
                </c:pt>
                <c:pt idx="142">
                  <c:v>a</c:v>
                </c:pt>
                <c:pt idx="143">
                  <c:v>a</c:v>
                </c:pt>
                <c:pt idx="144">
                  <c:v>a</c:v>
                </c:pt>
                <c:pt idx="145">
                  <c:v>a</c:v>
                </c:pt>
                <c:pt idx="146">
                  <c:v>a</c:v>
                </c:pt>
                <c:pt idx="147">
                  <c:v>a</c:v>
                </c:pt>
                <c:pt idx="148">
                  <c:v>a</c:v>
                </c:pt>
                <c:pt idx="149">
                  <c:v>a</c:v>
                </c:pt>
                <c:pt idx="150">
                  <c:v>a</c:v>
                </c:pt>
                <c:pt idx="151">
                  <c:v>a</c:v>
                </c:pt>
                <c:pt idx="152">
                  <c:v>a</c:v>
                </c:pt>
                <c:pt idx="153">
                  <c:v>a</c:v>
                </c:pt>
                <c:pt idx="154">
                  <c:v>a</c:v>
                </c:pt>
                <c:pt idx="155">
                  <c:v>a</c:v>
                </c:pt>
                <c:pt idx="156">
                  <c:v>a</c:v>
                </c:pt>
                <c:pt idx="157">
                  <c:v>a</c:v>
                </c:pt>
                <c:pt idx="158">
                  <c:v>a</c:v>
                </c:pt>
                <c:pt idx="159">
                  <c:v>a</c:v>
                </c:pt>
                <c:pt idx="160">
                  <c:v>a</c:v>
                </c:pt>
                <c:pt idx="161">
                  <c:v>a</c:v>
                </c:pt>
                <c:pt idx="162">
                  <c:v>a</c:v>
                </c:pt>
                <c:pt idx="163">
                  <c:v>a</c:v>
                </c:pt>
                <c:pt idx="164">
                  <c:v>a</c:v>
                </c:pt>
                <c:pt idx="165">
                  <c:v>a</c:v>
                </c:pt>
                <c:pt idx="166">
                  <c:v>a</c:v>
                </c:pt>
                <c:pt idx="167">
                  <c:v>a</c:v>
                </c:pt>
                <c:pt idx="168">
                  <c:v>a</c:v>
                </c:pt>
                <c:pt idx="169">
                  <c:v>a</c:v>
                </c:pt>
                <c:pt idx="170">
                  <c:v>a</c:v>
                </c:pt>
                <c:pt idx="171">
                  <c:v>a</c:v>
                </c:pt>
                <c:pt idx="172">
                  <c:v>a</c:v>
                </c:pt>
                <c:pt idx="173">
                  <c:v>a</c:v>
                </c:pt>
                <c:pt idx="174">
                  <c:v>a</c:v>
                </c:pt>
                <c:pt idx="175">
                  <c:v>a</c:v>
                </c:pt>
                <c:pt idx="176">
                  <c:v>a</c:v>
                </c:pt>
                <c:pt idx="177">
                  <c:v>a</c:v>
                </c:pt>
                <c:pt idx="178">
                  <c:v>a</c:v>
                </c:pt>
                <c:pt idx="179">
                  <c:v>a</c:v>
                </c:pt>
                <c:pt idx="180">
                  <c:v>a</c:v>
                </c:pt>
                <c:pt idx="181">
                  <c:v>a</c:v>
                </c:pt>
                <c:pt idx="182">
                  <c:v>a</c:v>
                </c:pt>
                <c:pt idx="183">
                  <c:v>a</c:v>
                </c:pt>
                <c:pt idx="184">
                  <c:v>a</c:v>
                </c:pt>
                <c:pt idx="185">
                  <c:v>a</c:v>
                </c:pt>
                <c:pt idx="186">
                  <c:v>a</c:v>
                </c:pt>
                <c:pt idx="187">
                  <c:v>a</c:v>
                </c:pt>
                <c:pt idx="188">
                  <c:v>a</c:v>
                </c:pt>
                <c:pt idx="189">
                  <c:v>a</c:v>
                </c:pt>
                <c:pt idx="190">
                  <c:v>a</c:v>
                </c:pt>
                <c:pt idx="191">
                  <c:v>a</c:v>
                </c:pt>
                <c:pt idx="192">
                  <c:v>a</c:v>
                </c:pt>
                <c:pt idx="193">
                  <c:v>a</c:v>
                </c:pt>
                <c:pt idx="194">
                  <c:v>a</c:v>
                </c:pt>
                <c:pt idx="195">
                  <c:v>a</c:v>
                </c:pt>
                <c:pt idx="196">
                  <c:v>a</c:v>
                </c:pt>
                <c:pt idx="197">
                  <c:v>a</c:v>
                </c:pt>
                <c:pt idx="198">
                  <c:v>a</c:v>
                </c:pt>
                <c:pt idx="199">
                  <c:v>a</c:v>
                </c:pt>
              </c:strCache>
            </c:strRef>
          </c:xVal>
          <c:yVal>
            <c:numRef>
              <c:f>'CH2 DStream'!$O$2:$O$201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D4-460E-9A51-E4D17221C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275128"/>
        <c:axId val="606275784"/>
      </c:scatterChart>
      <c:valAx>
        <c:axId val="606275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μ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75784"/>
        <c:crosses val="autoZero"/>
        <c:crossBetween val="midCat"/>
      </c:valAx>
      <c:valAx>
        <c:axId val="60627578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v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75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161924</xdr:colOff>
      <xdr:row>1</xdr:row>
      <xdr:rowOff>90486</xdr:rowOff>
    </xdr:from>
    <xdr:to>
      <xdr:col>25</xdr:col>
      <xdr:colOff>485775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DD40B0-103F-4B67-93CD-6C3BB7E4A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161924</xdr:colOff>
      <xdr:row>1</xdr:row>
      <xdr:rowOff>90486</xdr:rowOff>
    </xdr:from>
    <xdr:to>
      <xdr:col>25</xdr:col>
      <xdr:colOff>485775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1E6447-D2C1-49EA-A92C-982851920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206</xdr:row>
      <xdr:rowOff>0</xdr:rowOff>
    </xdr:from>
    <xdr:to>
      <xdr:col>12</xdr:col>
      <xdr:colOff>0</xdr:colOff>
      <xdr:row>207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FC10740-ED5C-7830-15BC-5C85BB08887E}"/>
            </a:ext>
          </a:extLst>
        </xdr:cNvPr>
        <xdr:cNvSpPr/>
      </xdr:nvSpPr>
      <xdr:spPr>
        <a:xfrm>
          <a:off x="8615363" y="51339750"/>
          <a:ext cx="652462" cy="247650"/>
        </a:xfrm>
        <a:prstGeom prst="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AU" sz="1100">
              <a:solidFill>
                <a:srgbClr val="000000"/>
              </a:solidFill>
            </a:rPr>
            <a:t>◀ Newest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161924</xdr:colOff>
      <xdr:row>1</xdr:row>
      <xdr:rowOff>101069</xdr:rowOff>
    </xdr:from>
    <xdr:to>
      <xdr:col>38</xdr:col>
      <xdr:colOff>485775</xdr:colOff>
      <xdr:row>22</xdr:row>
      <xdr:rowOff>86783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FF1718-3600-47FC-AA88-D91A02BC3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E69D89-068B-4020-A439-2004D2D33F79}" name="Table15" displayName="Table15" ref="A1:K402" totalsRowCount="1" headerRowDxfId="124" dataDxfId="123" totalsRowDxfId="122">
  <autoFilter ref="A1:K401" xr:uid="{24839BE3-F244-4798-85F1-30D7404D15BA}"/>
  <tableColumns count="11">
    <tableColumn id="1" xr3:uid="{E807761C-A9AC-4C5F-9BAB-78E5EA233C3A}" name="Serial Data" totalsRowLabel="Total" dataDxfId="121" totalsRowDxfId="120"/>
    <tableColumn id="2" xr3:uid="{30870710-E2C9-4013-B4FD-8F10EBAC3CFF}" name="colon 1" dataDxfId="119" totalsRowDxfId="118">
      <calculatedColumnFormula>FIND(":",$A2,1)</calculatedColumnFormula>
    </tableColumn>
    <tableColumn id="3" xr3:uid="{3E38D78A-3435-4DE2-82E2-9A2FDE9D8B2E}" name="colon 2" dataDxfId="117" totalsRowDxfId="116">
      <calculatedColumnFormula>FIND(":",$A2,B2+1)</calculatedColumnFormula>
    </tableColumn>
    <tableColumn id="4" xr3:uid="{62808C2C-C6F4-46E7-8DC5-35C73B625451}" name="colon 3" dataDxfId="115" totalsRowDxfId="114">
      <calculatedColumnFormula>FIND(":",$A2,C2+1)</calculatedColumnFormula>
    </tableColumn>
    <tableColumn id="5" xr3:uid="{9A918FFE-7515-4985-BB32-C1D75D3B667A}" name="colon 4" dataDxfId="113" totalsRowDxfId="112">
      <calculatedColumnFormula>FIND(":",$A2,D2+1)</calculatedColumnFormula>
    </tableColumn>
    <tableColumn id="6" xr3:uid="{1439AF80-0758-4E5E-9BA0-0CA1BB672789}" name="Start time" dataDxfId="111" totalsRowDxfId="110">
      <calculatedColumnFormula>'Data In'!C8</calculatedColumnFormula>
    </tableColumn>
    <tableColumn id="7" xr3:uid="{2718A4B9-222E-4BC1-B38D-2D454D1F45F0}" name="Voltage" totalsRowFunction="average" dataDxfId="109" totalsRowDxfId="108">
      <calculatedColumnFormula>'Data In'!D8</calculatedColumnFormula>
    </tableColumn>
    <tableColumn id="8" xr3:uid="{9E5D9DBE-DC88-4F8C-8343-C07E865CF751}" name="End time" dataDxfId="107" totalsRowDxfId="106">
      <calculatedColumnFormula>_xlfn.NUMBERVALUE(MID($A2,E2+1,1000))</calculatedColumnFormula>
    </tableColumn>
    <tableColumn id="9" xr3:uid="{94721777-8A34-480C-B5FC-362F3E12723D}" name="Rising Through Threshold" dataDxfId="105" totalsRowDxfId="104">
      <calculatedColumnFormula>AND(G1&lt;Threshold,G2&gt;Threshold)</calculatedColumnFormula>
    </tableColumn>
    <tableColumn id="10" xr3:uid="{0D47EAB0-9523-48A5-988C-0229A3E6C19B}" name="Last" dataDxfId="103" totalsRowDxfId="102">
      <calculatedColumnFormula>IF(Table15[[#This Row],[Rising Through Threshold]],Table15[[#This Row],[Start time]],J1)</calculatedColumnFormula>
    </tableColumn>
    <tableColumn id="11" xr3:uid="{6FD41F3A-2FDC-4AC8-8C46-9552D47143A7}" name="Period" totalsRowFunction="average" dataDxfId="101" totalsRowDxfId="100">
      <calculatedColumnFormula>IF(AND(Table15[[#This Row],[Rising Through Threshold]],J1&gt;0),J2-J1,"")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3E27B6-DA24-4481-A34C-EBF026C23173}" name="Table1" displayName="Table1" ref="A1:K402" totalsRowCount="1" headerRowDxfId="99" dataDxfId="98" totalsRowDxfId="97">
  <autoFilter ref="A1:K401" xr:uid="{24839BE3-F244-4798-85F1-30D7404D15BA}"/>
  <tableColumns count="11">
    <tableColumn id="1" xr3:uid="{3BF993D9-B8CE-4A96-A11D-BDEC5E0CDF4C}" name="Serial Data" totalsRowLabel="Total" dataDxfId="96" totalsRowDxfId="95"/>
    <tableColumn id="2" xr3:uid="{048A1D53-0CEE-4E88-B84C-AE80A606B118}" name="colon 1" dataDxfId="94" totalsRowDxfId="93">
      <calculatedColumnFormula>FIND(":",$A2,1)</calculatedColumnFormula>
    </tableColumn>
    <tableColumn id="3" xr3:uid="{23A48405-0B8A-442D-BDE0-8606F35684DB}" name="colon 2" dataDxfId="92" totalsRowDxfId="91">
      <calculatedColumnFormula>FIND(":",$A2,B2+1)</calculatedColumnFormula>
    </tableColumn>
    <tableColumn id="4" xr3:uid="{6E3EE22D-A3D0-47CF-ACE1-8A3DDD39ABC3}" name="colon 3" dataDxfId="90" totalsRowDxfId="89">
      <calculatedColumnFormula>FIND(":",$A2,C2+1)</calculatedColumnFormula>
    </tableColumn>
    <tableColumn id="5" xr3:uid="{D6295133-CB9C-4C51-B9D3-73A687C5BA35}" name="colon 4" dataDxfId="88" totalsRowDxfId="87">
      <calculatedColumnFormula>FIND(":",$A2,D2+1)</calculatedColumnFormula>
    </tableColumn>
    <tableColumn id="6" xr3:uid="{7600EE1B-97D6-4866-A483-9A55A088C430}" name="Start time" dataDxfId="86" totalsRowDxfId="85">
      <calculatedColumnFormula>_xlfn.NUMBERVALUE(MID($A2,B2+1,C2-B2-1))</calculatedColumnFormula>
    </tableColumn>
    <tableColumn id="7" xr3:uid="{6D050EEE-5FD4-4521-811D-A616555492CC}" name="Voltage" totalsRowFunction="average" dataDxfId="84" totalsRowDxfId="83">
      <calculatedColumnFormula>_xlfn.NUMBERVALUE(MID($A2,C2+1,D2-C2-1))</calculatedColumnFormula>
    </tableColumn>
    <tableColumn id="8" xr3:uid="{06A914E2-0C0C-43B1-93D3-FCE383E414AA}" name="End time" dataDxfId="82" totalsRowDxfId="81">
      <calculatedColumnFormula>_xlfn.NUMBERVALUE(MID($A2,E2+1,1000))</calculatedColumnFormula>
    </tableColumn>
    <tableColumn id="9" xr3:uid="{14044108-957D-4A6B-9D7B-04F81AAF4EC2}" name="Rising Through Threshold" dataDxfId="80" totalsRowDxfId="79">
      <calculatedColumnFormula>AND(G1&lt;Threshold,G2&gt;Threshold)</calculatedColumnFormula>
    </tableColumn>
    <tableColumn id="10" xr3:uid="{900D00EA-006E-4D86-B526-5F46D49D0BA7}" name="Last" dataDxfId="78" totalsRowDxfId="77">
      <calculatedColumnFormula>IF(Table1[[#This Row],[Rising Through Threshold]],Table1[[#This Row],[Start time]],J1)</calculatedColumnFormula>
    </tableColumn>
    <tableColumn id="11" xr3:uid="{ED19EEBB-6E4A-4722-B247-AFD7076FFB10}" name="Period" totalsRowFunction="average" dataDxfId="76" totalsRowDxfId="75">
      <calculatedColumnFormula>IF(AND(Table1[[#This Row],[Rising Through Threshold]],J1&gt;0),J2-J1,"")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A9A4D7-F094-41EC-8B71-A6B47B8B13CC}" name="TBL_CUR" displayName="TBL_CUR" ref="A4:K5" totalsRowShown="0" headerRowDxfId="25" dataDxfId="23">
  <autoFilter ref="A4:K5" xr:uid="{BC3E9FC1-A41D-4701-91E6-562884BB8F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FF497F9-B560-4F5F-A08B-8AB6D2EED1B9}" name="TIME" dataDxfId="12"/>
    <tableColumn id="2" xr3:uid="{AD93B7A8-7425-4DE2-88F0-45C81E47A032}" name="CH1" dataDxfId="13"/>
    <tableColumn id="3" xr3:uid="{AD57BCF0-2331-472B-8145-1C98161CE212}" name="CH2" dataDxfId="22"/>
    <tableColumn id="4" xr3:uid="{F6DABEB7-A722-4129-B8A0-AF3839F7E493}" name="CH3" dataDxfId="21"/>
    <tableColumn id="5" xr3:uid="{BA4950E6-CA4F-4F0D-8354-6C7F7443F851}" name="CH4" dataDxfId="20"/>
    <tableColumn id="6" xr3:uid="{19B8E06E-F383-4C55-B56B-23C601A737E3}" name="CH5" dataDxfId="19"/>
    <tableColumn id="7" xr3:uid="{EB6F16E2-F236-435A-A80E-4ECD8A5669E0}" name="CH6" dataDxfId="18"/>
    <tableColumn id="8" xr3:uid="{5A9BA1AA-A794-4FA7-A841-ABA68B95B411}" name="CH7" dataDxfId="17"/>
    <tableColumn id="9" xr3:uid="{32E419CF-0696-4697-8BBA-1E42EA892729}" name="CH8" dataDxfId="16"/>
    <tableColumn id="10" xr3:uid="{692F02AF-8E25-4FDD-868A-00555C4100F9}" name="CH9" dataDxfId="15"/>
    <tableColumn id="11" xr3:uid="{333C15DC-5676-4288-9EDE-121CE1DB3A78}" name="CH10" dataDxfId="14"/>
  </tableColumns>
  <tableStyleInfo name="Invisi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7F25DE-3477-45C5-9909-22F6ED264CC1}" name="TBL_HST" displayName="TBL_HST" ref="A7:K207" totalsRowShown="0" headerRowDxfId="24" dataDxfId="11">
  <autoFilter ref="A7:K207" xr:uid="{006E882C-E409-4C62-9DC3-B566C402A5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3287ABA-5979-4304-B162-C14047BAEF8D}" name="TIME" dataDxfId="0"/>
    <tableColumn id="2" xr3:uid="{811992F8-9C83-4BCA-9C8C-2CC16F78F112}" name="CH1" dataDxfId="1"/>
    <tableColumn id="3" xr3:uid="{97A29777-2CEE-4A4A-9B27-8D57BDC26733}" name="CH2" dataDxfId="10"/>
    <tableColumn id="4" xr3:uid="{1E427BFC-B648-4EA2-95D1-8BCA53D78B5D}" name="CH3" dataDxfId="9"/>
    <tableColumn id="5" xr3:uid="{AD8D001A-49EA-475D-B924-CFE9BCA733C6}" name="CH4" dataDxfId="8"/>
    <tableColumn id="6" xr3:uid="{5E5B5AB1-65EE-4E5F-B1C9-75C9AAC7BB3B}" name="CH5" dataDxfId="7"/>
    <tableColumn id="7" xr3:uid="{9B7BEC99-F903-410E-A696-CD1775389B88}" name="CH6" dataDxfId="6"/>
    <tableColumn id="8" xr3:uid="{3CAC3B5E-038A-4766-BB75-2D289997E623}" name="CH7" dataDxfId="5"/>
    <tableColumn id="9" xr3:uid="{EF08C618-4058-4300-AFB1-28B1E6C5563A}" name="CH8" dataDxfId="4"/>
    <tableColumn id="10" xr3:uid="{F6B82A90-F3EF-4368-8CCC-5319832AFCFB}" name="CH9" dataDxfId="3"/>
    <tableColumn id="11" xr3:uid="{3464F743-8221-40AC-8A1E-79467BA80290}" name="CH10" dataDxfId="2"/>
  </tableColumns>
  <tableStyleInfo name="Invisi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94291C-1EB5-4387-8B73-9EDA94F7E255}" name="Table156" displayName="Table156" ref="A1:W202" totalsRowCount="1" headerRowDxfId="74" dataDxfId="73" totalsRowDxfId="72">
  <autoFilter ref="A1:W201" xr:uid="{24839BE3-F244-4798-85F1-30D7404D15BA}"/>
  <tableColumns count="23">
    <tableColumn id="1" xr3:uid="{57F97846-51F9-4AE2-ADED-83E0C12978E9}" name="Serial Data" totalsRowLabel="Total" dataDxfId="71" totalsRowDxfId="70"/>
    <tableColumn id="2" xr3:uid="{63A5D9FC-B618-4B8C-AF91-6436FD6988DE}" name="colon 1" dataDxfId="69" totalsRowDxfId="68">
      <calculatedColumnFormula>FIND(":",$A2,1)</calculatedColumnFormula>
    </tableColumn>
    <tableColumn id="3" xr3:uid="{B57B5F81-29C4-41E4-97A9-BCA12DFC3D87}" name="colon 2" dataDxfId="67" totalsRowDxfId="66">
      <calculatedColumnFormula>FIND(":",$A2,B2+1)</calculatedColumnFormula>
    </tableColumn>
    <tableColumn id="4" xr3:uid="{B2433982-76B3-4F50-86F3-0FA48F0FAA03}" name="colon 3" dataDxfId="65" totalsRowDxfId="64">
      <calculatedColumnFormula>FIND(":",$A2,C2+1)</calculatedColumnFormula>
    </tableColumn>
    <tableColumn id="5" xr3:uid="{D6056E18-61A1-450F-8E09-789C8FDC0401}" name="colon 4" dataDxfId="63" totalsRowDxfId="62">
      <calculatedColumnFormula>FIND(":",$A2,D2+1)</calculatedColumnFormula>
    </tableColumn>
    <tableColumn id="6" xr3:uid="{A1067428-6FDA-43E5-A43E-06810B69835D}" name="Start time" dataDxfId="61" totalsRowDxfId="60">
      <calculatedColumnFormula>IF(Table156[[#This Row],[seq]]&gt;=Table156[[#Totals],[seq]],'Data In'!B8,"")</calculatedColumnFormula>
    </tableColumn>
    <tableColumn id="7" xr3:uid="{F7524115-B977-4D5E-B686-6C061B1AB97E}" name="Voltage" totalsRowFunction="average" dataDxfId="59" totalsRowDxfId="58">
      <calculatedColumnFormula>'Data In'!C8</calculatedColumnFormula>
    </tableColumn>
    <tableColumn id="8" xr3:uid="{24FC2950-362B-4454-9941-AA35B065775E}" name="End time" dataDxfId="57" totalsRowDxfId="56">
      <calculatedColumnFormula>_xlfn.NUMBERVALUE(MID($A2,E2+1,1000))</calculatedColumnFormula>
    </tableColumn>
    <tableColumn id="9" xr3:uid="{C928F530-A2E0-492B-BDE8-73033840DAAA}" name="Rising Through Threshold" dataDxfId="55" totalsRowDxfId="54">
      <calculatedColumnFormula>AND(G1&lt;Threshold,G2&gt;Threshold)</calculatedColumnFormula>
    </tableColumn>
    <tableColumn id="10" xr3:uid="{72D02E43-3B73-4DCE-A700-20CA6E4C46EB}" name="Last" dataDxfId="53" totalsRowDxfId="52">
      <calculatedColumnFormula>IF(Table156[[#This Row],[Rising Through Threshold]],Table156[[#This Row],[Start time]],J1)</calculatedColumnFormula>
    </tableColumn>
    <tableColumn id="11" xr3:uid="{C4360DC0-76D0-448F-963F-0CCAC1EBBC10}" name="Period" totalsRowFunction="average" dataDxfId="51" totalsRowDxfId="50">
      <calculatedColumnFormula>IF(AND(Table156[[#This Row],[Rising Through Threshold]],J1&gt;0),J2-J1,"")</calculatedColumnFormula>
    </tableColumn>
    <tableColumn id="25" xr3:uid="{C2D14A12-67CF-4434-AF3B-BB73A2F418F6}" name="Above Theshold" dataDxfId="49" totalsRowDxfId="48">
      <calculatedColumnFormula>IF(Table156[[#This Row],[Voltage]]&gt;Threshold,1,0)</calculatedColumnFormula>
    </tableColumn>
    <tableColumn id="24" xr3:uid="{A133289C-BC20-48E7-BBAB-5931BEC4D713}" name="include in duty" dataDxfId="47" totalsRowDxfId="46">
      <calculatedColumnFormula>AND(Table156[[#This Row],[Last]]&gt;0,Table156[[#This Row],[Last]]&lt;MAX(Table156[Last]))</calculatedColumnFormula>
    </tableColumn>
    <tableColumn id="12" xr3:uid="{34EA7E23-B567-4177-B3AC-A25BF618C2B9}" name="Start time2" dataDxfId="45" totalsRowDxfId="44">
      <calculatedColumnFormula>'Data In'!D8</calculatedColumnFormula>
    </tableColumn>
    <tableColumn id="13" xr3:uid="{300950F6-CD95-4032-A109-35F8735225ED}" name="Voltage2" totalsRowFunction="average" dataDxfId="43" totalsRowDxfId="42">
      <calculatedColumnFormula>'Data In'!E8</calculatedColumnFormula>
    </tableColumn>
    <tableColumn id="14" xr3:uid="{5591181C-A3D1-47F2-B00A-C0470154EA00}" name="End time2" dataDxfId="41" totalsRowDxfId="40">
      <calculatedColumnFormula>_xlfn.NUMBERVALUE(MID($A2,K2+1,1000))</calculatedColumnFormula>
    </tableColumn>
    <tableColumn id="15" xr3:uid="{B2D238CE-36E4-4B65-AFF1-CB43002D7753}" name="Rising Through Threshold2" dataDxfId="39" totalsRowDxfId="38">
      <calculatedColumnFormula>AND(O1&lt;Threshold2,O2&gt;Threshold2)</calculatedColumnFormula>
    </tableColumn>
    <tableColumn id="16" xr3:uid="{95D8CF85-5C7B-405D-919D-C341337CA5BD}" name="Last2" dataDxfId="37" totalsRowDxfId="36">
      <calculatedColumnFormula>IF(Table156[[#This Row],[Rising Through Threshold2]],Table156[[#This Row],[Start time2]],R1)</calculatedColumnFormula>
    </tableColumn>
    <tableColumn id="17" xr3:uid="{93C725C3-DD3B-43F1-AA95-70B991DD27BE}" name="Period2" totalsRowFunction="average" dataDxfId="35" totalsRowDxfId="34">
      <calculatedColumnFormula>IF(AND(Table156[[#This Row],[Rising Through Threshold2]],R1&gt;0),R2-R1,"")</calculatedColumnFormula>
    </tableColumn>
    <tableColumn id="23" xr3:uid="{657C97F6-9A31-4949-BB61-3440C7C35CEB}" name="Above Threshold2" dataDxfId="33" totalsRowDxfId="32">
      <calculatedColumnFormula>IF(Table156[[#This Row],[Voltage2]]&gt;Threshold2,1,0)</calculatedColumnFormula>
    </tableColumn>
    <tableColumn id="18" xr3:uid="{1AC27186-3B09-44A3-879A-02FA1ECE8659}" name="include in duty2" dataDxfId="31" totalsRowDxfId="30">
      <calculatedColumnFormula>AND(Table156[[#This Row],[Last2]]&gt;0,Table156[[#This Row],[Last2]]&lt;MAX(Table156[Last2]))</calculatedColumnFormula>
    </tableColumn>
    <tableColumn id="19" xr3:uid="{35ABA96C-162A-4D4F-97AF-9489D02D99E7}" name="not restart" dataDxfId="29" totalsRowDxfId="28">
      <calculatedColumnFormula>OR('Data In'!B8&gt;'Data In'!B7)</calculatedColumnFormula>
    </tableColumn>
    <tableColumn id="20" xr3:uid="{FDBDB894-6B7B-484D-8C28-2E15374D1670}" name="seq" totalsRowFunction="max" dataDxfId="27" totalsRowDxfId="26">
      <calculatedColumnFormula>COUNTIF($V$2:V2,"false")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D4BA-1EAA-4DB3-B903-1C26B184CE35}">
  <dimension ref="A1:Z402"/>
  <sheetViews>
    <sheetView showGridLines="0" topLeftCell="F1" zoomScale="90" zoomScaleNormal="90" workbookViewId="0">
      <selection sqref="A1:A1048576"/>
    </sheetView>
  </sheetViews>
  <sheetFormatPr defaultRowHeight="14.25" x14ac:dyDescent="0.45"/>
  <cols>
    <col min="1" max="1" width="23.86328125" style="1" hidden="1" customWidth="1"/>
    <col min="2" max="5" width="9.3984375" style="1" hidden="1" customWidth="1"/>
    <col min="6" max="6" width="9.86328125" style="1" bestFit="1" customWidth="1"/>
    <col min="7" max="7" width="8.3984375" style="1" bestFit="1" customWidth="1"/>
    <col min="8" max="8" width="9.73046875" style="1" bestFit="1" customWidth="1"/>
    <col min="9" max="10" width="10.86328125" style="1" hidden="1" customWidth="1"/>
    <col min="11" max="11" width="7.73046875" style="1" bestFit="1" customWidth="1"/>
    <col min="14" max="14" width="12.265625" bestFit="1" customWidth="1"/>
    <col min="18" max="18" width="10.265625" bestFit="1" customWidth="1"/>
    <col min="19" max="19" width="11.265625" bestFit="1" customWidth="1"/>
  </cols>
  <sheetData>
    <row r="1" spans="1:26" ht="22.15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2" t="s">
        <v>12</v>
      </c>
      <c r="J1" s="2" t="s">
        <v>13</v>
      </c>
      <c r="K1" s="2" t="s">
        <v>14</v>
      </c>
    </row>
    <row r="2" spans="1:26" x14ac:dyDescent="0.45">
      <c r="A2" s="1" t="s">
        <v>20</v>
      </c>
      <c r="B2" s="1">
        <f>FIND(":",$A2,1)</f>
        <v>6</v>
      </c>
      <c r="C2" s="1">
        <f>FIND(":",$A2,B2+1)</f>
        <v>8</v>
      </c>
      <c r="D2" s="1">
        <f>FIND(":",$A2,C2+1)</f>
        <v>13</v>
      </c>
      <c r="E2" s="1" t="e">
        <f>FIND(":",$A2,D2+1)</f>
        <v>#VALUE!</v>
      </c>
      <c r="F2" s="3">
        <f>'Data In'!C8</f>
        <v>0.51</v>
      </c>
      <c r="G2" s="4" t="str">
        <f>'Data In'!D8</f>
        <v>a</v>
      </c>
      <c r="H2" s="3" t="e">
        <f>_xlfn.NUMBERVALUE(MID($A2,E2+1,1000))</f>
        <v>#VALUE!</v>
      </c>
      <c r="I2" s="1" t="e">
        <f t="shared" ref="I2:I31" si="0">AND(G1&lt;Threshold,G2&gt;Threshold)</f>
        <v>#REF!</v>
      </c>
      <c r="K2" s="1" t="e">
        <f>IF(AND(Table15[[#This Row],[Rising Through Threshold]],J1&gt;0),J2-J1,"")</f>
        <v>#REF!</v>
      </c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x14ac:dyDescent="0.45">
      <c r="A3" s="1" t="s">
        <v>21</v>
      </c>
      <c r="B3" s="1">
        <f t="shared" ref="B3:B66" si="1">FIND(":",$A3,1)</f>
        <v>6</v>
      </c>
      <c r="C3" s="1">
        <f t="shared" ref="C3:E31" si="2">FIND(":",$A3,B3+1)</f>
        <v>10</v>
      </c>
      <c r="D3" s="1">
        <f t="shared" si="2"/>
        <v>15</v>
      </c>
      <c r="E3" s="1" t="e">
        <f t="shared" si="2"/>
        <v>#VALUE!</v>
      </c>
      <c r="F3" s="3">
        <f>'Data In'!C9</f>
        <v>0.63</v>
      </c>
      <c r="G3" s="4" t="str">
        <f>'Data In'!D9</f>
        <v>a</v>
      </c>
      <c r="H3" s="3" t="e">
        <f t="shared" ref="H3:H66" si="3">_xlfn.NUMBERVALUE(MID($A3,E3+1,1000))</f>
        <v>#VALUE!</v>
      </c>
      <c r="I3" s="1" t="e">
        <f t="shared" si="0"/>
        <v>#REF!</v>
      </c>
      <c r="J3" s="1" t="e">
        <f>IF(Table15[[#This Row],[Rising Through Threshold]],Table15[[#This Row],[Start time]],J2)</f>
        <v>#REF!</v>
      </c>
      <c r="K3" s="1" t="e">
        <f>IF(AND(Table15[[#This Row],[Rising Through Threshold]],J2&gt;0),J3-J2,"")</f>
        <v>#REF!</v>
      </c>
      <c r="M3" s="8"/>
      <c r="Z3" s="9"/>
    </row>
    <row r="4" spans="1:26" x14ac:dyDescent="0.45">
      <c r="A4" s="1" t="s">
        <v>22</v>
      </c>
      <c r="B4" s="1">
        <f t="shared" si="1"/>
        <v>6</v>
      </c>
      <c r="C4" s="1">
        <f t="shared" si="2"/>
        <v>10</v>
      </c>
      <c r="D4" s="1">
        <f t="shared" si="2"/>
        <v>15</v>
      </c>
      <c r="E4" s="1" t="e">
        <f t="shared" si="2"/>
        <v>#VALUE!</v>
      </c>
      <c r="F4" s="3">
        <f>'Data In'!C10</f>
        <v>0.8</v>
      </c>
      <c r="G4" s="4" t="str">
        <f>'Data In'!D10</f>
        <v>a</v>
      </c>
      <c r="H4" s="3" t="e">
        <f t="shared" si="3"/>
        <v>#VALUE!</v>
      </c>
      <c r="I4" s="1" t="e">
        <f t="shared" si="0"/>
        <v>#REF!</v>
      </c>
      <c r="J4" s="1" t="e">
        <f>IF(Table15[[#This Row],[Rising Through Threshold]],Table15[[#This Row],[Start time]],J3)</f>
        <v>#REF!</v>
      </c>
      <c r="K4" s="1" t="e">
        <f>IF(AND(Table15[[#This Row],[Rising Through Threshold]],J3&gt;0),J4-J3,"")</f>
        <v>#REF!</v>
      </c>
      <c r="M4" s="8"/>
      <c r="Z4" s="9"/>
    </row>
    <row r="5" spans="1:26" x14ac:dyDescent="0.45">
      <c r="A5" s="1" t="s">
        <v>23</v>
      </c>
      <c r="B5" s="1">
        <f t="shared" si="1"/>
        <v>6</v>
      </c>
      <c r="C5" s="1">
        <f t="shared" si="2"/>
        <v>10</v>
      </c>
      <c r="D5" s="1">
        <f t="shared" si="2"/>
        <v>15</v>
      </c>
      <c r="E5" s="1" t="e">
        <f t="shared" si="2"/>
        <v>#VALUE!</v>
      </c>
      <c r="F5" s="3">
        <f>'Data In'!C11</f>
        <v>1.06</v>
      </c>
      <c r="G5" s="4" t="str">
        <f>'Data In'!D11</f>
        <v>a</v>
      </c>
      <c r="H5" s="3" t="e">
        <f t="shared" si="3"/>
        <v>#VALUE!</v>
      </c>
      <c r="I5" s="1" t="e">
        <f t="shared" si="0"/>
        <v>#REF!</v>
      </c>
      <c r="J5" s="1" t="e">
        <f>IF(Table15[[#This Row],[Rising Through Threshold]],Table15[[#This Row],[Start time]],J4)</f>
        <v>#REF!</v>
      </c>
      <c r="K5" s="1" t="e">
        <f>IF(AND(Table15[[#This Row],[Rising Through Threshold]],J4&gt;0),J5-J4,"")</f>
        <v>#REF!</v>
      </c>
      <c r="M5" s="8"/>
      <c r="Z5" s="9"/>
    </row>
    <row r="6" spans="1:26" x14ac:dyDescent="0.45">
      <c r="A6" s="1" t="s">
        <v>24</v>
      </c>
      <c r="B6" s="1">
        <f t="shared" si="1"/>
        <v>6</v>
      </c>
      <c r="C6" s="1">
        <f t="shared" si="2"/>
        <v>10</v>
      </c>
      <c r="D6" s="1">
        <f t="shared" si="2"/>
        <v>15</v>
      </c>
      <c r="E6" s="1" t="e">
        <f t="shared" si="2"/>
        <v>#VALUE!</v>
      </c>
      <c r="F6" s="3">
        <f>'Data In'!C12</f>
        <v>1.31</v>
      </c>
      <c r="G6" s="4" t="str">
        <f>'Data In'!D12</f>
        <v>a</v>
      </c>
      <c r="H6" s="3" t="e">
        <f t="shared" si="3"/>
        <v>#VALUE!</v>
      </c>
      <c r="I6" s="1" t="e">
        <f t="shared" si="0"/>
        <v>#REF!</v>
      </c>
      <c r="J6" s="1" t="e">
        <f>IF(Table15[[#This Row],[Rising Through Threshold]],Table15[[#This Row],[Start time]],J5)</f>
        <v>#REF!</v>
      </c>
      <c r="K6" s="1" t="e">
        <f>IF(AND(Table15[[#This Row],[Rising Through Threshold]],J5&gt;0),J6-J5,"")</f>
        <v>#REF!</v>
      </c>
      <c r="M6" s="8"/>
      <c r="Z6" s="9"/>
    </row>
    <row r="7" spans="1:26" x14ac:dyDescent="0.45">
      <c r="A7" s="1" t="s">
        <v>25</v>
      </c>
      <c r="B7" s="1">
        <f t="shared" si="1"/>
        <v>6</v>
      </c>
      <c r="C7" s="1">
        <f t="shared" si="2"/>
        <v>10</v>
      </c>
      <c r="D7" s="1">
        <f t="shared" si="2"/>
        <v>15</v>
      </c>
      <c r="E7" s="1" t="e">
        <f t="shared" si="2"/>
        <v>#VALUE!</v>
      </c>
      <c r="F7" s="3">
        <f>'Data In'!C13</f>
        <v>1.59</v>
      </c>
      <c r="G7" s="4" t="str">
        <f>'Data In'!D13</f>
        <v>a</v>
      </c>
      <c r="H7" s="3" t="e">
        <f t="shared" si="3"/>
        <v>#VALUE!</v>
      </c>
      <c r="I7" s="1" t="e">
        <f t="shared" si="0"/>
        <v>#REF!</v>
      </c>
      <c r="J7" s="1" t="e">
        <f>IF(Table15[[#This Row],[Rising Through Threshold]],Table15[[#This Row],[Start time]],J6)</f>
        <v>#REF!</v>
      </c>
      <c r="K7" s="1" t="e">
        <f>IF(AND(Table15[[#This Row],[Rising Through Threshold]],J6&gt;0),J7-J6,"")</f>
        <v>#REF!</v>
      </c>
      <c r="M7" s="8"/>
      <c r="Z7" s="9"/>
    </row>
    <row r="8" spans="1:26" x14ac:dyDescent="0.45">
      <c r="A8" s="1" t="s">
        <v>26</v>
      </c>
      <c r="B8" s="1">
        <f t="shared" si="1"/>
        <v>6</v>
      </c>
      <c r="C8" s="1">
        <f t="shared" si="2"/>
        <v>10</v>
      </c>
      <c r="D8" s="1">
        <f t="shared" si="2"/>
        <v>15</v>
      </c>
      <c r="E8" s="1" t="e">
        <f t="shared" si="2"/>
        <v>#VALUE!</v>
      </c>
      <c r="F8" s="3">
        <f>'Data In'!C14</f>
        <v>1.84</v>
      </c>
      <c r="G8" s="4" t="str">
        <f>'Data In'!D14</f>
        <v>a</v>
      </c>
      <c r="H8" s="3" t="e">
        <f t="shared" si="3"/>
        <v>#VALUE!</v>
      </c>
      <c r="I8" s="1" t="e">
        <f t="shared" si="0"/>
        <v>#REF!</v>
      </c>
      <c r="J8" s="1" t="e">
        <f>IF(Table15[[#This Row],[Rising Through Threshold]],Table15[[#This Row],[Start time]],J7)</f>
        <v>#REF!</v>
      </c>
      <c r="K8" s="1" t="e">
        <f>IF(AND(Table15[[#This Row],[Rising Through Threshold]],J7&gt;0),J8-J7,"")</f>
        <v>#REF!</v>
      </c>
      <c r="M8" s="8"/>
      <c r="Z8" s="9"/>
    </row>
    <row r="9" spans="1:26" x14ac:dyDescent="0.45">
      <c r="A9" s="1" t="s">
        <v>27</v>
      </c>
      <c r="B9" s="1">
        <f t="shared" si="1"/>
        <v>6</v>
      </c>
      <c r="C9" s="1">
        <f t="shared" si="2"/>
        <v>10</v>
      </c>
      <c r="D9" s="1">
        <f t="shared" si="2"/>
        <v>15</v>
      </c>
      <c r="E9" s="1" t="e">
        <f t="shared" si="2"/>
        <v>#VALUE!</v>
      </c>
      <c r="F9" s="3">
        <f>'Data In'!C15</f>
        <v>2.1</v>
      </c>
      <c r="G9" s="4" t="str">
        <f>'Data In'!D15</f>
        <v>a</v>
      </c>
      <c r="H9" s="3" t="e">
        <f t="shared" si="3"/>
        <v>#VALUE!</v>
      </c>
      <c r="I9" s="1" t="e">
        <f t="shared" si="0"/>
        <v>#REF!</v>
      </c>
      <c r="J9" s="1" t="e">
        <f>IF(Table15[[#This Row],[Rising Through Threshold]],Table15[[#This Row],[Start time]],J8)</f>
        <v>#REF!</v>
      </c>
      <c r="K9" s="1" t="e">
        <f>IF(AND(Table15[[#This Row],[Rising Through Threshold]],J8&gt;0),J9-J8,"")</f>
        <v>#REF!</v>
      </c>
      <c r="M9" s="8"/>
      <c r="Z9" s="9"/>
    </row>
    <row r="10" spans="1:26" x14ac:dyDescent="0.45">
      <c r="A10" s="1" t="s">
        <v>28</v>
      </c>
      <c r="B10" s="1">
        <f t="shared" si="1"/>
        <v>6</v>
      </c>
      <c r="C10" s="1">
        <f t="shared" si="2"/>
        <v>11</v>
      </c>
      <c r="D10" s="1">
        <f t="shared" si="2"/>
        <v>16</v>
      </c>
      <c r="E10" s="1" t="e">
        <f t="shared" si="2"/>
        <v>#VALUE!</v>
      </c>
      <c r="F10" s="3">
        <f>'Data In'!C16</f>
        <v>2.31</v>
      </c>
      <c r="G10" s="4" t="str">
        <f>'Data In'!D16</f>
        <v>a</v>
      </c>
      <c r="H10" s="3" t="e">
        <f t="shared" si="3"/>
        <v>#VALUE!</v>
      </c>
      <c r="I10" s="1" t="e">
        <f t="shared" si="0"/>
        <v>#REF!</v>
      </c>
      <c r="J10" s="1" t="e">
        <f>IF(Table15[[#This Row],[Rising Through Threshold]],Table15[[#This Row],[Start time]],J9)</f>
        <v>#REF!</v>
      </c>
      <c r="K10" s="1" t="e">
        <f>IF(AND(Table15[[#This Row],[Rising Through Threshold]],J9&gt;0),J10-J9,"")</f>
        <v>#REF!</v>
      </c>
      <c r="M10" s="8"/>
      <c r="Z10" s="9"/>
    </row>
    <row r="11" spans="1:26" x14ac:dyDescent="0.45">
      <c r="A11" s="1" t="s">
        <v>29</v>
      </c>
      <c r="B11" s="1">
        <f t="shared" si="1"/>
        <v>6</v>
      </c>
      <c r="C11" s="1">
        <f t="shared" si="2"/>
        <v>11</v>
      </c>
      <c r="D11" s="1">
        <f t="shared" si="2"/>
        <v>16</v>
      </c>
      <c r="E11" s="1" t="e">
        <f t="shared" si="2"/>
        <v>#VALUE!</v>
      </c>
      <c r="F11" s="3">
        <f>'Data In'!C17</f>
        <v>2.5299999999999998</v>
      </c>
      <c r="G11" s="4" t="str">
        <f>'Data In'!D17</f>
        <v>a</v>
      </c>
      <c r="H11" s="3" t="e">
        <f t="shared" si="3"/>
        <v>#VALUE!</v>
      </c>
      <c r="I11" s="1" t="e">
        <f t="shared" si="0"/>
        <v>#REF!</v>
      </c>
      <c r="J11" s="1" t="e">
        <f>IF(Table15[[#This Row],[Rising Through Threshold]],Table15[[#This Row],[Start time]],J10)</f>
        <v>#REF!</v>
      </c>
      <c r="K11" s="1" t="e">
        <f>IF(AND(Table15[[#This Row],[Rising Through Threshold]],J10&gt;0),J11-J10,"")</f>
        <v>#REF!</v>
      </c>
      <c r="M11" s="8"/>
      <c r="Z11" s="9"/>
    </row>
    <row r="12" spans="1:26" x14ac:dyDescent="0.45">
      <c r="A12" s="1" t="s">
        <v>30</v>
      </c>
      <c r="B12" s="1">
        <f t="shared" si="1"/>
        <v>6</v>
      </c>
      <c r="C12" s="1">
        <f t="shared" si="2"/>
        <v>11</v>
      </c>
      <c r="D12" s="1">
        <f t="shared" si="2"/>
        <v>16</v>
      </c>
      <c r="E12" s="1" t="e">
        <f t="shared" si="2"/>
        <v>#VALUE!</v>
      </c>
      <c r="F12" s="3">
        <f>'Data In'!C18</f>
        <v>2.71</v>
      </c>
      <c r="G12" s="4" t="str">
        <f>'Data In'!D18</f>
        <v>a</v>
      </c>
      <c r="H12" s="3" t="e">
        <f t="shared" si="3"/>
        <v>#VALUE!</v>
      </c>
      <c r="I12" s="1" t="e">
        <f t="shared" si="0"/>
        <v>#REF!</v>
      </c>
      <c r="J12" s="1" t="e">
        <f>IF(Table15[[#This Row],[Rising Through Threshold]],Table15[[#This Row],[Start time]],J11)</f>
        <v>#REF!</v>
      </c>
      <c r="K12" s="1" t="e">
        <f>IF(AND(Table15[[#This Row],[Rising Through Threshold]],J11&gt;0),J12-J11,"")</f>
        <v>#REF!</v>
      </c>
      <c r="M12" s="8"/>
      <c r="Z12" s="9"/>
    </row>
    <row r="13" spans="1:26" x14ac:dyDescent="0.45">
      <c r="A13" s="1" t="s">
        <v>31</v>
      </c>
      <c r="B13" s="1">
        <f t="shared" si="1"/>
        <v>6</v>
      </c>
      <c r="C13" s="1">
        <f t="shared" si="2"/>
        <v>11</v>
      </c>
      <c r="D13" s="1">
        <f t="shared" si="2"/>
        <v>16</v>
      </c>
      <c r="E13" s="1" t="e">
        <f t="shared" si="2"/>
        <v>#VALUE!</v>
      </c>
      <c r="F13" s="3">
        <f>'Data In'!C19</f>
        <v>2.88</v>
      </c>
      <c r="G13" s="4" t="str">
        <f>'Data In'!D19</f>
        <v>a</v>
      </c>
      <c r="H13" s="3" t="e">
        <f t="shared" si="3"/>
        <v>#VALUE!</v>
      </c>
      <c r="I13" s="1" t="e">
        <f t="shared" si="0"/>
        <v>#REF!</v>
      </c>
      <c r="J13" s="1" t="e">
        <f>IF(Table15[[#This Row],[Rising Through Threshold]],Table15[[#This Row],[Start time]],J12)</f>
        <v>#REF!</v>
      </c>
      <c r="K13" s="1" t="e">
        <f>IF(AND(Table15[[#This Row],[Rising Through Threshold]],J12&gt;0),J13-J12,"")</f>
        <v>#REF!</v>
      </c>
      <c r="M13" s="8"/>
      <c r="Z13" s="9"/>
    </row>
    <row r="14" spans="1:26" x14ac:dyDescent="0.45">
      <c r="A14" s="1" t="s">
        <v>32</v>
      </c>
      <c r="B14" s="1">
        <f t="shared" si="1"/>
        <v>6</v>
      </c>
      <c r="C14" s="1">
        <f t="shared" si="2"/>
        <v>11</v>
      </c>
      <c r="D14" s="1">
        <f t="shared" si="2"/>
        <v>16</v>
      </c>
      <c r="E14" s="1" t="e">
        <f t="shared" si="2"/>
        <v>#VALUE!</v>
      </c>
      <c r="F14" s="3">
        <f>'Data In'!C20</f>
        <v>3.04</v>
      </c>
      <c r="G14" s="4" t="str">
        <f>'Data In'!D20</f>
        <v>a</v>
      </c>
      <c r="H14" s="3" t="e">
        <f t="shared" si="3"/>
        <v>#VALUE!</v>
      </c>
      <c r="I14" s="1" t="e">
        <f t="shared" si="0"/>
        <v>#REF!</v>
      </c>
      <c r="J14" s="1" t="e">
        <f>IF(Table15[[#This Row],[Rising Through Threshold]],Table15[[#This Row],[Start time]],J13)</f>
        <v>#REF!</v>
      </c>
      <c r="K14" s="1" t="e">
        <f>IF(AND(Table15[[#This Row],[Rising Through Threshold]],J13&gt;0),J14-J13,"")</f>
        <v>#REF!</v>
      </c>
      <c r="M14" s="8"/>
      <c r="Z14" s="9"/>
    </row>
    <row r="15" spans="1:26" x14ac:dyDescent="0.45">
      <c r="A15" s="1" t="s">
        <v>33</v>
      </c>
      <c r="B15" s="1">
        <f t="shared" si="1"/>
        <v>6</v>
      </c>
      <c r="C15" s="1">
        <f t="shared" si="2"/>
        <v>11</v>
      </c>
      <c r="D15" s="1">
        <f t="shared" si="2"/>
        <v>16</v>
      </c>
      <c r="E15" s="1" t="e">
        <f t="shared" si="2"/>
        <v>#VALUE!</v>
      </c>
      <c r="F15" s="3">
        <f>'Data In'!C21</f>
        <v>3.2</v>
      </c>
      <c r="G15" s="4" t="str">
        <f>'Data In'!D21</f>
        <v>a</v>
      </c>
      <c r="H15" s="3" t="e">
        <f t="shared" si="3"/>
        <v>#VALUE!</v>
      </c>
      <c r="I15" s="1" t="e">
        <f t="shared" si="0"/>
        <v>#REF!</v>
      </c>
      <c r="J15" s="1" t="e">
        <f>IF(Table15[[#This Row],[Rising Through Threshold]],Table15[[#This Row],[Start time]],J14)</f>
        <v>#REF!</v>
      </c>
      <c r="K15" s="1" t="e">
        <f>IF(AND(Table15[[#This Row],[Rising Through Threshold]],J14&gt;0),J15-J14,"")</f>
        <v>#REF!</v>
      </c>
      <c r="M15" s="8"/>
      <c r="Z15" s="9"/>
    </row>
    <row r="16" spans="1:26" x14ac:dyDescent="0.45">
      <c r="A16" s="1" t="s">
        <v>34</v>
      </c>
      <c r="B16" s="1">
        <f t="shared" si="1"/>
        <v>6</v>
      </c>
      <c r="C16" s="1">
        <f t="shared" si="2"/>
        <v>11</v>
      </c>
      <c r="D16" s="1">
        <f t="shared" si="2"/>
        <v>16</v>
      </c>
      <c r="E16" s="1" t="e">
        <f t="shared" si="2"/>
        <v>#VALUE!</v>
      </c>
      <c r="F16" s="3">
        <f>'Data In'!C22</f>
        <v>3.31</v>
      </c>
      <c r="G16" s="4" t="str">
        <f>'Data In'!D22</f>
        <v>a</v>
      </c>
      <c r="H16" s="3" t="e">
        <f t="shared" si="3"/>
        <v>#VALUE!</v>
      </c>
      <c r="I16" s="1" t="e">
        <f t="shared" si="0"/>
        <v>#REF!</v>
      </c>
      <c r="J16" s="1" t="e">
        <f>IF(Table15[[#This Row],[Rising Through Threshold]],Table15[[#This Row],[Start time]],J15)</f>
        <v>#REF!</v>
      </c>
      <c r="K16" s="1" t="e">
        <f>IF(AND(Table15[[#This Row],[Rising Through Threshold]],J15&gt;0),J16-J15,"")</f>
        <v>#REF!</v>
      </c>
      <c r="M16" s="8"/>
      <c r="Z16" s="9"/>
    </row>
    <row r="17" spans="1:26" x14ac:dyDescent="0.45">
      <c r="A17" s="1" t="s">
        <v>35</v>
      </c>
      <c r="B17" s="1">
        <f t="shared" si="1"/>
        <v>6</v>
      </c>
      <c r="C17" s="1">
        <f t="shared" si="2"/>
        <v>11</v>
      </c>
      <c r="D17" s="1">
        <f t="shared" si="2"/>
        <v>16</v>
      </c>
      <c r="E17" s="1" t="e">
        <f t="shared" si="2"/>
        <v>#VALUE!</v>
      </c>
      <c r="F17" s="3">
        <f>'Data In'!C23</f>
        <v>3.43</v>
      </c>
      <c r="G17" s="4" t="str">
        <f>'Data In'!D23</f>
        <v>a</v>
      </c>
      <c r="H17" s="3" t="e">
        <f t="shared" si="3"/>
        <v>#VALUE!</v>
      </c>
      <c r="I17" s="1" t="e">
        <f t="shared" si="0"/>
        <v>#REF!</v>
      </c>
      <c r="J17" s="1" t="e">
        <f>IF(Table15[[#This Row],[Rising Through Threshold]],Table15[[#This Row],[Start time]],J16)</f>
        <v>#REF!</v>
      </c>
      <c r="K17" s="1" t="e">
        <f>IF(AND(Table15[[#This Row],[Rising Through Threshold]],J16&gt;0),J17-J16,"")</f>
        <v>#REF!</v>
      </c>
      <c r="M17" s="8"/>
      <c r="Z17" s="9"/>
    </row>
    <row r="18" spans="1:26" x14ac:dyDescent="0.45">
      <c r="A18" s="1" t="s">
        <v>36</v>
      </c>
      <c r="B18" s="1">
        <f t="shared" si="1"/>
        <v>6</v>
      </c>
      <c r="C18" s="1">
        <f t="shared" si="2"/>
        <v>11</v>
      </c>
      <c r="D18" s="1">
        <f t="shared" si="2"/>
        <v>16</v>
      </c>
      <c r="E18" s="1" t="e">
        <f t="shared" si="2"/>
        <v>#VALUE!</v>
      </c>
      <c r="F18" s="3">
        <f>'Data In'!C24</f>
        <v>3.53</v>
      </c>
      <c r="G18" s="4" t="str">
        <f>'Data In'!D24</f>
        <v>a</v>
      </c>
      <c r="H18" s="3" t="e">
        <f t="shared" si="3"/>
        <v>#VALUE!</v>
      </c>
      <c r="I18" s="1" t="e">
        <f t="shared" si="0"/>
        <v>#REF!</v>
      </c>
      <c r="J18" s="1" t="e">
        <f>IF(Table15[[#This Row],[Rising Through Threshold]],Table15[[#This Row],[Start time]],J17)</f>
        <v>#REF!</v>
      </c>
      <c r="K18" s="1" t="e">
        <f>IF(AND(Table15[[#This Row],[Rising Through Threshold]],J17&gt;0),J18-J17,"")</f>
        <v>#REF!</v>
      </c>
      <c r="M18" s="8"/>
      <c r="Z18" s="9"/>
    </row>
    <row r="19" spans="1:26" x14ac:dyDescent="0.45">
      <c r="A19" s="1" t="s">
        <v>37</v>
      </c>
      <c r="B19" s="1">
        <f t="shared" si="1"/>
        <v>6</v>
      </c>
      <c r="C19" s="1">
        <f t="shared" si="2"/>
        <v>11</v>
      </c>
      <c r="D19" s="1">
        <f t="shared" si="2"/>
        <v>16</v>
      </c>
      <c r="E19" s="1" t="e">
        <f t="shared" si="2"/>
        <v>#VALUE!</v>
      </c>
      <c r="F19" s="3">
        <f>'Data In'!C25</f>
        <v>3.63</v>
      </c>
      <c r="G19" s="4" t="str">
        <f>'Data In'!D25</f>
        <v>a</v>
      </c>
      <c r="H19" s="3" t="e">
        <f t="shared" si="3"/>
        <v>#VALUE!</v>
      </c>
      <c r="I19" s="1" t="e">
        <f t="shared" si="0"/>
        <v>#REF!</v>
      </c>
      <c r="J19" s="1" t="e">
        <f>IF(Table15[[#This Row],[Rising Through Threshold]],Table15[[#This Row],[Start time]],J18)</f>
        <v>#REF!</v>
      </c>
      <c r="K19" s="1" t="e">
        <f>IF(AND(Table15[[#This Row],[Rising Through Threshold]],J18&gt;0),J19-J18,"")</f>
        <v>#REF!</v>
      </c>
      <c r="M19" s="8"/>
      <c r="Z19" s="9"/>
    </row>
    <row r="20" spans="1:26" x14ac:dyDescent="0.45">
      <c r="A20" s="1" t="s">
        <v>38</v>
      </c>
      <c r="B20" s="1">
        <f t="shared" si="1"/>
        <v>6</v>
      </c>
      <c r="C20" s="1">
        <f t="shared" si="2"/>
        <v>11</v>
      </c>
      <c r="D20" s="1">
        <f t="shared" si="2"/>
        <v>16</v>
      </c>
      <c r="E20" s="1" t="e">
        <f t="shared" si="2"/>
        <v>#VALUE!</v>
      </c>
      <c r="F20" s="3">
        <f>'Data In'!C26</f>
        <v>3.69</v>
      </c>
      <c r="G20" s="4" t="str">
        <f>'Data In'!D26</f>
        <v>a</v>
      </c>
      <c r="H20" s="3" t="e">
        <f t="shared" si="3"/>
        <v>#VALUE!</v>
      </c>
      <c r="I20" s="1" t="e">
        <f t="shared" si="0"/>
        <v>#REF!</v>
      </c>
      <c r="J20" s="1" t="e">
        <f>IF(Table15[[#This Row],[Rising Through Threshold]],Table15[[#This Row],[Start time]],J19)</f>
        <v>#REF!</v>
      </c>
      <c r="K20" s="1" t="e">
        <f>IF(AND(Table15[[#This Row],[Rising Through Threshold]],J19&gt;0),J20-J19,"")</f>
        <v>#REF!</v>
      </c>
      <c r="M20" s="8"/>
      <c r="Z20" s="9"/>
    </row>
    <row r="21" spans="1:26" x14ac:dyDescent="0.45">
      <c r="A21" s="1" t="s">
        <v>39</v>
      </c>
      <c r="B21" s="1">
        <f t="shared" si="1"/>
        <v>6</v>
      </c>
      <c r="C21" s="1">
        <f t="shared" si="2"/>
        <v>11</v>
      </c>
      <c r="D21" s="1">
        <f t="shared" si="2"/>
        <v>16</v>
      </c>
      <c r="E21" s="1" t="e">
        <f t="shared" si="2"/>
        <v>#VALUE!</v>
      </c>
      <c r="F21" s="3">
        <f>'Data In'!C27</f>
        <v>3.75</v>
      </c>
      <c r="G21" s="4" t="str">
        <f>'Data In'!D27</f>
        <v>a</v>
      </c>
      <c r="H21" s="3" t="e">
        <f t="shared" si="3"/>
        <v>#VALUE!</v>
      </c>
      <c r="I21" s="1" t="e">
        <f t="shared" si="0"/>
        <v>#REF!</v>
      </c>
      <c r="J21" s="1" t="e">
        <f>IF(Table15[[#This Row],[Rising Through Threshold]],Table15[[#This Row],[Start time]],J20)</f>
        <v>#REF!</v>
      </c>
      <c r="K21" s="1" t="e">
        <f>IF(AND(Table15[[#This Row],[Rising Through Threshold]],J20&gt;0),J21-J20,"")</f>
        <v>#REF!</v>
      </c>
      <c r="M21" s="8"/>
      <c r="Z21" s="9"/>
    </row>
    <row r="22" spans="1:26" x14ac:dyDescent="0.45">
      <c r="A22" s="1" t="s">
        <v>40</v>
      </c>
      <c r="B22" s="1">
        <f t="shared" si="1"/>
        <v>6</v>
      </c>
      <c r="C22" s="1">
        <f t="shared" si="2"/>
        <v>11</v>
      </c>
      <c r="D22" s="1">
        <f t="shared" si="2"/>
        <v>16</v>
      </c>
      <c r="E22" s="1" t="e">
        <f t="shared" si="2"/>
        <v>#VALUE!</v>
      </c>
      <c r="F22" s="3">
        <f>'Data In'!C28</f>
        <v>3.73</v>
      </c>
      <c r="G22" s="4" t="str">
        <f>'Data In'!D28</f>
        <v>a</v>
      </c>
      <c r="H22" s="3" t="e">
        <f t="shared" si="3"/>
        <v>#VALUE!</v>
      </c>
      <c r="I22" s="1" t="e">
        <f t="shared" si="0"/>
        <v>#REF!</v>
      </c>
      <c r="J22" s="1" t="e">
        <f>IF(Table15[[#This Row],[Rising Through Threshold]],Table15[[#This Row],[Start time]],J21)</f>
        <v>#REF!</v>
      </c>
      <c r="K22" s="1" t="e">
        <f>IF(AND(Table15[[#This Row],[Rising Through Threshold]],J21&gt;0),J22-J21,"")</f>
        <v>#REF!</v>
      </c>
      <c r="M22" s="8"/>
      <c r="Z22" s="9"/>
    </row>
    <row r="23" spans="1:26" x14ac:dyDescent="0.45">
      <c r="A23" s="1" t="s">
        <v>41</v>
      </c>
      <c r="B23" s="1">
        <f t="shared" si="1"/>
        <v>6</v>
      </c>
      <c r="C23" s="1">
        <f t="shared" si="2"/>
        <v>11</v>
      </c>
      <c r="D23" s="1">
        <f t="shared" si="2"/>
        <v>16</v>
      </c>
      <c r="E23" s="1" t="e">
        <f t="shared" si="2"/>
        <v>#VALUE!</v>
      </c>
      <c r="F23" s="3">
        <f>'Data In'!C29</f>
        <v>3.63</v>
      </c>
      <c r="G23" s="4" t="str">
        <f>'Data In'!D29</f>
        <v>a</v>
      </c>
      <c r="H23" s="3" t="e">
        <f t="shared" si="3"/>
        <v>#VALUE!</v>
      </c>
      <c r="I23" s="1" t="e">
        <f t="shared" si="0"/>
        <v>#REF!</v>
      </c>
      <c r="J23" s="1" t="e">
        <f>IF(Table15[[#This Row],[Rising Through Threshold]],Table15[[#This Row],[Start time]],J22)</f>
        <v>#REF!</v>
      </c>
      <c r="K23" s="1" t="e">
        <f>IF(AND(Table15[[#This Row],[Rising Through Threshold]],J22&gt;0),J23-J22,"")</f>
        <v>#REF!</v>
      </c>
      <c r="M23" s="8"/>
      <c r="Z23" s="9"/>
    </row>
    <row r="24" spans="1:26" ht="15.75" x14ac:dyDescent="0.5">
      <c r="A24" s="1" t="s">
        <v>42</v>
      </c>
      <c r="B24" s="1">
        <f t="shared" si="1"/>
        <v>6</v>
      </c>
      <c r="C24" s="1">
        <f t="shared" si="2"/>
        <v>11</v>
      </c>
      <c r="D24" s="1">
        <f t="shared" si="2"/>
        <v>16</v>
      </c>
      <c r="E24" s="1" t="e">
        <f t="shared" si="2"/>
        <v>#VALUE!</v>
      </c>
      <c r="F24" s="3">
        <f>'Data In'!C30</f>
        <v>3.37</v>
      </c>
      <c r="G24" s="4" t="str">
        <f>'Data In'!D30</f>
        <v>a</v>
      </c>
      <c r="H24" s="3" t="e">
        <f t="shared" si="3"/>
        <v>#VALUE!</v>
      </c>
      <c r="I24" s="1" t="e">
        <f t="shared" si="0"/>
        <v>#REF!</v>
      </c>
      <c r="J24" s="1" t="e">
        <f>IF(Table15[[#This Row],[Rising Through Threshold]],Table15[[#This Row],[Start time]],J23)</f>
        <v>#REF!</v>
      </c>
      <c r="K24" s="1" t="e">
        <f>IF(AND(Table15[[#This Row],[Rising Through Threshold]],J23&gt;0),J24-J23,"")</f>
        <v>#REF!</v>
      </c>
      <c r="M24" s="8"/>
      <c r="N24" s="16" t="s">
        <v>8</v>
      </c>
      <c r="O24" s="10" t="e">
        <f>MAX(Table15[Voltage])</f>
        <v>#REF!</v>
      </c>
      <c r="R24" s="16" t="s">
        <v>11</v>
      </c>
      <c r="S24" s="10" t="e">
        <f>O27</f>
        <v>#REF!</v>
      </c>
      <c r="Z24" s="9"/>
    </row>
    <row r="25" spans="1:26" ht="15.75" x14ac:dyDescent="0.5">
      <c r="A25" s="1" t="s">
        <v>43</v>
      </c>
      <c r="B25" s="1">
        <f t="shared" si="1"/>
        <v>6</v>
      </c>
      <c r="C25" s="1">
        <f t="shared" si="2"/>
        <v>11</v>
      </c>
      <c r="D25" s="1">
        <f t="shared" si="2"/>
        <v>16</v>
      </c>
      <c r="E25" s="1" t="e">
        <f t="shared" si="2"/>
        <v>#VALUE!</v>
      </c>
      <c r="F25" s="3">
        <f>'Data In'!C31</f>
        <v>2.94</v>
      </c>
      <c r="G25" s="4" t="str">
        <f>'Data In'!D31</f>
        <v>a</v>
      </c>
      <c r="H25" s="3" t="e">
        <f t="shared" si="3"/>
        <v>#VALUE!</v>
      </c>
      <c r="I25" s="1" t="e">
        <f t="shared" si="0"/>
        <v>#REF!</v>
      </c>
      <c r="J25" s="1" t="e">
        <f>IF(Table15[[#This Row],[Rising Through Threshold]],Table15[[#This Row],[Start time]],J24)</f>
        <v>#REF!</v>
      </c>
      <c r="K25" s="1" t="e">
        <f>IF(AND(Table15[[#This Row],[Rising Through Threshold]],J24&gt;0),J25-J24,"")</f>
        <v>#REF!</v>
      </c>
      <c r="M25" s="8"/>
      <c r="N25" s="16" t="s">
        <v>9</v>
      </c>
      <c r="O25" s="10" t="e">
        <f>MIN(Table15[Voltage])</f>
        <v>#REF!</v>
      </c>
      <c r="R25" s="16" t="s">
        <v>14</v>
      </c>
      <c r="S25" s="11" t="e">
        <f>Table15[[#Totals],[Period]]</f>
        <v>#REF!</v>
      </c>
      <c r="Z25" s="9"/>
    </row>
    <row r="26" spans="1:26" ht="15.75" x14ac:dyDescent="0.5">
      <c r="A26" s="1" t="s">
        <v>44</v>
      </c>
      <c r="B26" s="1">
        <f t="shared" si="1"/>
        <v>6</v>
      </c>
      <c r="C26" s="1">
        <f t="shared" si="2"/>
        <v>11</v>
      </c>
      <c r="D26" s="1">
        <f t="shared" si="2"/>
        <v>16</v>
      </c>
      <c r="E26" s="1" t="e">
        <f t="shared" si="2"/>
        <v>#VALUE!</v>
      </c>
      <c r="F26" s="3">
        <f>'Data In'!C32</f>
        <v>2.33</v>
      </c>
      <c r="G26" s="4" t="str">
        <f>'Data In'!D32</f>
        <v>a</v>
      </c>
      <c r="H26" s="3" t="e">
        <f t="shared" si="3"/>
        <v>#VALUE!</v>
      </c>
      <c r="I26" s="1" t="e">
        <f t="shared" si="0"/>
        <v>#REF!</v>
      </c>
      <c r="J26" s="1" t="e">
        <f>IF(Table15[[#This Row],[Rising Through Threshold]],Table15[[#This Row],[Start time]],J25)</f>
        <v>#REF!</v>
      </c>
      <c r="K26" s="1" t="e">
        <f>IF(AND(Table15[[#This Row],[Rising Through Threshold]],J25&gt;0),J26-J25,"")</f>
        <v>#REF!</v>
      </c>
      <c r="M26" s="8"/>
      <c r="N26" s="16" t="s">
        <v>10</v>
      </c>
      <c r="O26" s="10" t="e">
        <f>O24-O25</f>
        <v>#REF!</v>
      </c>
      <c r="R26" s="16" t="s">
        <v>16</v>
      </c>
      <c r="S26" s="12" t="e">
        <f>1/(S25/1000000)</f>
        <v>#REF!</v>
      </c>
      <c r="Z26" s="9"/>
    </row>
    <row r="27" spans="1:26" ht="15.75" x14ac:dyDescent="0.5">
      <c r="A27" s="1" t="s">
        <v>45</v>
      </c>
      <c r="B27" s="1">
        <f t="shared" si="1"/>
        <v>6</v>
      </c>
      <c r="C27" s="1">
        <f t="shared" si="2"/>
        <v>11</v>
      </c>
      <c r="D27" s="1">
        <f t="shared" si="2"/>
        <v>16</v>
      </c>
      <c r="E27" s="1" t="e">
        <f t="shared" si="2"/>
        <v>#VALUE!</v>
      </c>
      <c r="F27" s="3">
        <f>'Data In'!C33</f>
        <v>1.61</v>
      </c>
      <c r="G27" s="4" t="str">
        <f>'Data In'!D33</f>
        <v>a</v>
      </c>
      <c r="H27" s="3" t="e">
        <f t="shared" si="3"/>
        <v>#VALUE!</v>
      </c>
      <c r="I27" s="1" t="e">
        <f t="shared" si="0"/>
        <v>#REF!</v>
      </c>
      <c r="J27" s="1" t="e">
        <f>IF(Table15[[#This Row],[Rising Through Threshold]],Table15[[#This Row],[Start time]],J26)</f>
        <v>#REF!</v>
      </c>
      <c r="K27" s="1" t="e">
        <f>IF(AND(Table15[[#This Row],[Rising Through Threshold]],J26&gt;0),J27-J26,"")</f>
        <v>#REF!</v>
      </c>
      <c r="M27" s="8"/>
      <c r="N27" s="16" t="s">
        <v>17</v>
      </c>
      <c r="O27" s="10" t="e">
        <f>Table15[[#Totals],[Voltage]]</f>
        <v>#REF!</v>
      </c>
      <c r="Z27" s="9"/>
    </row>
    <row r="28" spans="1:26" x14ac:dyDescent="0.45">
      <c r="A28" s="1" t="s">
        <v>46</v>
      </c>
      <c r="B28" s="1">
        <f t="shared" si="1"/>
        <v>6</v>
      </c>
      <c r="C28" s="1">
        <f t="shared" si="2"/>
        <v>11</v>
      </c>
      <c r="D28" s="1">
        <f t="shared" si="2"/>
        <v>16</v>
      </c>
      <c r="E28" s="1" t="e">
        <f t="shared" si="2"/>
        <v>#VALUE!</v>
      </c>
      <c r="F28" s="3">
        <f>'Data In'!C34</f>
        <v>0.9</v>
      </c>
      <c r="G28" s="4" t="str">
        <f>'Data In'!D34</f>
        <v>a</v>
      </c>
      <c r="H28" s="3" t="e">
        <f t="shared" si="3"/>
        <v>#VALUE!</v>
      </c>
      <c r="I28" s="1" t="e">
        <f t="shared" si="0"/>
        <v>#REF!</v>
      </c>
      <c r="J28" s="1" t="e">
        <f>IF(Table15[[#This Row],[Rising Through Threshold]],Table15[[#This Row],[Start time]],J27)</f>
        <v>#REF!</v>
      </c>
      <c r="K28" s="1" t="e">
        <f>IF(AND(Table15[[#This Row],[Rising Through Threshold]],J27&gt;0),J28-J27,"")</f>
        <v>#REF!</v>
      </c>
      <c r="M28" s="8"/>
      <c r="Z28" s="9"/>
    </row>
    <row r="29" spans="1:26" ht="14.65" thickBot="1" x14ac:dyDescent="0.5">
      <c r="A29" s="1" t="s">
        <v>47</v>
      </c>
      <c r="B29" s="1">
        <f t="shared" si="1"/>
        <v>6</v>
      </c>
      <c r="C29" s="1">
        <f t="shared" si="2"/>
        <v>11</v>
      </c>
      <c r="D29" s="1">
        <f t="shared" si="2"/>
        <v>16</v>
      </c>
      <c r="E29" s="1" t="e">
        <f t="shared" si="2"/>
        <v>#VALUE!</v>
      </c>
      <c r="F29" s="3">
        <f>'Data In'!C35</f>
        <v>0.43</v>
      </c>
      <c r="G29" s="4" t="str">
        <f>'Data In'!D35</f>
        <v>a</v>
      </c>
      <c r="H29" s="3" t="e">
        <f t="shared" si="3"/>
        <v>#VALUE!</v>
      </c>
      <c r="I29" s="1" t="e">
        <f t="shared" si="0"/>
        <v>#REF!</v>
      </c>
      <c r="J29" s="1" t="e">
        <f>IF(Table15[[#This Row],[Rising Through Threshold]],Table15[[#This Row],[Start time]],J28)</f>
        <v>#REF!</v>
      </c>
      <c r="K29" s="1" t="e">
        <f>IF(AND(Table15[[#This Row],[Rising Through Threshold]],J28&gt;0),J29-J28,"")</f>
        <v>#REF!</v>
      </c>
      <c r="M29" s="13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5"/>
    </row>
    <row r="30" spans="1:26" x14ac:dyDescent="0.45">
      <c r="A30" s="1" t="s">
        <v>48</v>
      </c>
      <c r="B30" s="1">
        <f t="shared" si="1"/>
        <v>6</v>
      </c>
      <c r="C30" s="1">
        <f t="shared" si="2"/>
        <v>11</v>
      </c>
      <c r="D30" s="1">
        <f t="shared" si="2"/>
        <v>16</v>
      </c>
      <c r="E30" s="1" t="e">
        <f t="shared" si="2"/>
        <v>#VALUE!</v>
      </c>
      <c r="F30" s="3">
        <f>'Data In'!C36</f>
        <v>0.45</v>
      </c>
      <c r="G30" s="4" t="str">
        <f>'Data In'!D36</f>
        <v>a</v>
      </c>
      <c r="H30" s="3" t="e">
        <f t="shared" si="3"/>
        <v>#VALUE!</v>
      </c>
      <c r="I30" s="1" t="e">
        <f t="shared" si="0"/>
        <v>#REF!</v>
      </c>
      <c r="J30" s="1" t="e">
        <f>IF(Table15[[#This Row],[Rising Through Threshold]],Table15[[#This Row],[Start time]],J29)</f>
        <v>#REF!</v>
      </c>
      <c r="K30" s="1" t="e">
        <f>IF(AND(Table15[[#This Row],[Rising Through Threshold]],J29&gt;0),J30-J29,"")</f>
        <v>#REF!</v>
      </c>
    </row>
    <row r="31" spans="1:26" x14ac:dyDescent="0.45">
      <c r="A31" s="1" t="s">
        <v>49</v>
      </c>
      <c r="B31" s="1">
        <f t="shared" si="1"/>
        <v>6</v>
      </c>
      <c r="C31" s="1">
        <f t="shared" si="2"/>
        <v>11</v>
      </c>
      <c r="D31" s="1">
        <f t="shared" si="2"/>
        <v>16</v>
      </c>
      <c r="E31" s="1" t="e">
        <f t="shared" si="2"/>
        <v>#VALUE!</v>
      </c>
      <c r="F31" s="3">
        <f>'Data In'!C37</f>
        <v>0.47</v>
      </c>
      <c r="G31" s="4" t="str">
        <f>'Data In'!D37</f>
        <v>a</v>
      </c>
      <c r="H31" s="3" t="e">
        <f t="shared" si="3"/>
        <v>#VALUE!</v>
      </c>
      <c r="I31" s="1" t="e">
        <f t="shared" si="0"/>
        <v>#REF!</v>
      </c>
      <c r="J31" s="1" t="e">
        <f>IF(Table15[[#This Row],[Rising Through Threshold]],Table15[[#This Row],[Start time]],J30)</f>
        <v>#REF!</v>
      </c>
      <c r="K31" s="1" t="e">
        <f>IF(AND(Table15[[#This Row],[Rising Through Threshold]],J30&gt;0),J31-J30,"")</f>
        <v>#REF!</v>
      </c>
    </row>
    <row r="32" spans="1:26" x14ac:dyDescent="0.45">
      <c r="A32" s="1" t="s">
        <v>50</v>
      </c>
      <c r="B32" s="1">
        <f t="shared" si="1"/>
        <v>6</v>
      </c>
      <c r="C32" s="1">
        <f t="shared" ref="C32:E47" si="4">FIND(":",$A32,B32+1)</f>
        <v>11</v>
      </c>
      <c r="D32" s="1">
        <f t="shared" si="4"/>
        <v>16</v>
      </c>
      <c r="E32" s="1" t="e">
        <f t="shared" si="4"/>
        <v>#VALUE!</v>
      </c>
      <c r="F32" s="3">
        <f>'Data In'!C38</f>
        <v>0.56999999999999995</v>
      </c>
      <c r="G32" s="4" t="str">
        <f>'Data In'!D38</f>
        <v>a</v>
      </c>
      <c r="H32" s="3" t="e">
        <f t="shared" si="3"/>
        <v>#VALUE!</v>
      </c>
      <c r="I32" s="1" t="e">
        <f t="shared" ref="I32:I44" si="5">AND(G31&lt;Threshold,G32&gt;Threshold)</f>
        <v>#REF!</v>
      </c>
      <c r="J32" s="1" t="e">
        <f>IF(Table15[[#This Row],[Rising Through Threshold]],Table15[[#This Row],[Start time]],J31)</f>
        <v>#REF!</v>
      </c>
      <c r="K32" s="1" t="e">
        <f>IF(AND(Table15[[#This Row],[Rising Through Threshold]],J31&gt;0),J32-J31,"")</f>
        <v>#REF!</v>
      </c>
    </row>
    <row r="33" spans="1:11" x14ac:dyDescent="0.45">
      <c r="A33" s="1" t="s">
        <v>51</v>
      </c>
      <c r="B33" s="1">
        <f t="shared" si="1"/>
        <v>6</v>
      </c>
      <c r="C33" s="1">
        <f t="shared" si="4"/>
        <v>11</v>
      </c>
      <c r="D33" s="1">
        <f t="shared" si="4"/>
        <v>16</v>
      </c>
      <c r="E33" s="1" t="e">
        <f t="shared" si="4"/>
        <v>#VALUE!</v>
      </c>
      <c r="F33" s="3">
        <f>'Data In'!C39</f>
        <v>0.73</v>
      </c>
      <c r="G33" s="4" t="str">
        <f>'Data In'!D39</f>
        <v>a</v>
      </c>
      <c r="H33" s="3" t="e">
        <f t="shared" si="3"/>
        <v>#VALUE!</v>
      </c>
      <c r="I33" s="1" t="e">
        <f t="shared" si="5"/>
        <v>#REF!</v>
      </c>
      <c r="J33" s="1" t="e">
        <f>IF(Table15[[#This Row],[Rising Through Threshold]],Table15[[#This Row],[Start time]],J32)</f>
        <v>#REF!</v>
      </c>
      <c r="K33" s="1" t="e">
        <f>IF(AND(Table15[[#This Row],[Rising Through Threshold]],J32&gt;0),J33-J32,"")</f>
        <v>#REF!</v>
      </c>
    </row>
    <row r="34" spans="1:11" x14ac:dyDescent="0.45">
      <c r="A34" s="1" t="s">
        <v>52</v>
      </c>
      <c r="B34" s="1">
        <f t="shared" si="1"/>
        <v>6</v>
      </c>
      <c r="C34" s="1">
        <f t="shared" si="4"/>
        <v>11</v>
      </c>
      <c r="D34" s="1">
        <f t="shared" si="4"/>
        <v>16</v>
      </c>
      <c r="E34" s="1" t="e">
        <f t="shared" si="4"/>
        <v>#VALUE!</v>
      </c>
      <c r="F34" s="3">
        <f>'Data In'!C40</f>
        <v>0.96</v>
      </c>
      <c r="G34" s="4" t="str">
        <f>'Data In'!D40</f>
        <v>a</v>
      </c>
      <c r="H34" s="3" t="e">
        <f t="shared" si="3"/>
        <v>#VALUE!</v>
      </c>
      <c r="I34" s="1" t="e">
        <f t="shared" si="5"/>
        <v>#REF!</v>
      </c>
      <c r="J34" s="1" t="e">
        <f>IF(Table15[[#This Row],[Rising Through Threshold]],Table15[[#This Row],[Start time]],J33)</f>
        <v>#REF!</v>
      </c>
      <c r="K34" s="1" t="e">
        <f>IF(AND(Table15[[#This Row],[Rising Through Threshold]],J33&gt;0),J34-J33,"")</f>
        <v>#REF!</v>
      </c>
    </row>
    <row r="35" spans="1:11" x14ac:dyDescent="0.45">
      <c r="A35" s="1" t="s">
        <v>53</v>
      </c>
      <c r="B35" s="1">
        <f t="shared" si="1"/>
        <v>6</v>
      </c>
      <c r="C35" s="1">
        <f t="shared" si="4"/>
        <v>11</v>
      </c>
      <c r="D35" s="1">
        <f t="shared" si="4"/>
        <v>16</v>
      </c>
      <c r="E35" s="1" t="e">
        <f t="shared" si="4"/>
        <v>#VALUE!</v>
      </c>
      <c r="F35" s="3">
        <f>'Data In'!C41</f>
        <v>1.22</v>
      </c>
      <c r="G35" s="4" t="str">
        <f>'Data In'!D41</f>
        <v>a</v>
      </c>
      <c r="H35" s="3" t="e">
        <f t="shared" si="3"/>
        <v>#VALUE!</v>
      </c>
      <c r="I35" s="1" t="e">
        <f t="shared" si="5"/>
        <v>#REF!</v>
      </c>
      <c r="J35" s="1" t="e">
        <f>IF(Table15[[#This Row],[Rising Through Threshold]],Table15[[#This Row],[Start time]],J34)</f>
        <v>#REF!</v>
      </c>
      <c r="K35" s="1" t="e">
        <f>IF(AND(Table15[[#This Row],[Rising Through Threshold]],J34&gt;0),J35-J34,"")</f>
        <v>#REF!</v>
      </c>
    </row>
    <row r="36" spans="1:11" x14ac:dyDescent="0.45">
      <c r="A36" s="1" t="s">
        <v>54</v>
      </c>
      <c r="B36" s="1">
        <f t="shared" si="1"/>
        <v>6</v>
      </c>
      <c r="C36" s="1">
        <f t="shared" si="4"/>
        <v>11</v>
      </c>
      <c r="D36" s="1">
        <f t="shared" si="4"/>
        <v>16</v>
      </c>
      <c r="E36" s="1" t="e">
        <f t="shared" si="4"/>
        <v>#VALUE!</v>
      </c>
      <c r="F36" s="3">
        <f>'Data In'!C42</f>
        <v>1.49</v>
      </c>
      <c r="G36" s="4" t="str">
        <f>'Data In'!D42</f>
        <v>a</v>
      </c>
      <c r="H36" s="3" t="e">
        <f t="shared" si="3"/>
        <v>#VALUE!</v>
      </c>
      <c r="I36" s="1" t="e">
        <f t="shared" si="5"/>
        <v>#REF!</v>
      </c>
      <c r="J36" s="1" t="e">
        <f>IF(Table15[[#This Row],[Rising Through Threshold]],Table15[[#This Row],[Start time]],J35)</f>
        <v>#REF!</v>
      </c>
      <c r="K36" s="1" t="e">
        <f>IF(AND(Table15[[#This Row],[Rising Through Threshold]],J35&gt;0),J36-J35,"")</f>
        <v>#REF!</v>
      </c>
    </row>
    <row r="37" spans="1:11" x14ac:dyDescent="0.45">
      <c r="A37" s="1" t="s">
        <v>55</v>
      </c>
      <c r="B37" s="1">
        <f t="shared" si="1"/>
        <v>6</v>
      </c>
      <c r="C37" s="1">
        <f t="shared" si="4"/>
        <v>11</v>
      </c>
      <c r="D37" s="1">
        <f t="shared" si="4"/>
        <v>16</v>
      </c>
      <c r="E37" s="1" t="e">
        <f t="shared" si="4"/>
        <v>#VALUE!</v>
      </c>
      <c r="F37" s="3">
        <f>'Data In'!C43</f>
        <v>1.75</v>
      </c>
      <c r="G37" s="4" t="str">
        <f>'Data In'!D43</f>
        <v>a</v>
      </c>
      <c r="H37" s="3" t="e">
        <f t="shared" si="3"/>
        <v>#VALUE!</v>
      </c>
      <c r="I37" s="1" t="e">
        <f t="shared" si="5"/>
        <v>#REF!</v>
      </c>
      <c r="J37" s="1" t="e">
        <f>IF(Table15[[#This Row],[Rising Through Threshold]],Table15[[#This Row],[Start time]],J36)</f>
        <v>#REF!</v>
      </c>
      <c r="K37" s="1" t="e">
        <f>IF(AND(Table15[[#This Row],[Rising Through Threshold]],J36&gt;0),J37-J36,"")</f>
        <v>#REF!</v>
      </c>
    </row>
    <row r="38" spans="1:11" x14ac:dyDescent="0.45">
      <c r="A38" s="1" t="s">
        <v>56</v>
      </c>
      <c r="B38" s="1">
        <f t="shared" si="1"/>
        <v>6</v>
      </c>
      <c r="C38" s="1">
        <f t="shared" si="4"/>
        <v>11</v>
      </c>
      <c r="D38" s="1">
        <f t="shared" si="4"/>
        <v>16</v>
      </c>
      <c r="E38" s="1" t="e">
        <f t="shared" si="4"/>
        <v>#VALUE!</v>
      </c>
      <c r="F38" s="3">
        <f>'Data In'!C44</f>
        <v>2</v>
      </c>
      <c r="G38" s="4" t="str">
        <f>'Data In'!D44</f>
        <v>a</v>
      </c>
      <c r="H38" s="3" t="e">
        <f t="shared" si="3"/>
        <v>#VALUE!</v>
      </c>
      <c r="I38" s="1" t="e">
        <f t="shared" si="5"/>
        <v>#REF!</v>
      </c>
      <c r="J38" s="1" t="e">
        <f>IF(Table15[[#This Row],[Rising Through Threshold]],Table15[[#This Row],[Start time]],J37)</f>
        <v>#REF!</v>
      </c>
      <c r="K38" s="1" t="e">
        <f>IF(AND(Table15[[#This Row],[Rising Through Threshold]],J37&gt;0),J38-J37,"")</f>
        <v>#REF!</v>
      </c>
    </row>
    <row r="39" spans="1:11" x14ac:dyDescent="0.45">
      <c r="A39" s="1" t="s">
        <v>57</v>
      </c>
      <c r="B39" s="1">
        <f t="shared" si="1"/>
        <v>6</v>
      </c>
      <c r="C39" s="1">
        <f t="shared" si="4"/>
        <v>11</v>
      </c>
      <c r="D39" s="1">
        <f t="shared" si="4"/>
        <v>16</v>
      </c>
      <c r="E39" s="1" t="e">
        <f t="shared" si="4"/>
        <v>#VALUE!</v>
      </c>
      <c r="F39" s="3">
        <f>'Data In'!C45</f>
        <v>2.2400000000000002</v>
      </c>
      <c r="G39" s="4" t="str">
        <f>'Data In'!D45</f>
        <v>a</v>
      </c>
      <c r="H39" s="3" t="e">
        <f t="shared" si="3"/>
        <v>#VALUE!</v>
      </c>
      <c r="I39" s="1" t="e">
        <f t="shared" si="5"/>
        <v>#REF!</v>
      </c>
      <c r="J39" s="1" t="e">
        <f>IF(Table15[[#This Row],[Rising Through Threshold]],Table15[[#This Row],[Start time]],J38)</f>
        <v>#REF!</v>
      </c>
      <c r="K39" s="1" t="e">
        <f>IF(AND(Table15[[#This Row],[Rising Through Threshold]],J38&gt;0),J39-J38,"")</f>
        <v>#REF!</v>
      </c>
    </row>
    <row r="40" spans="1:11" x14ac:dyDescent="0.45">
      <c r="A40" s="1" t="s">
        <v>58</v>
      </c>
      <c r="B40" s="1">
        <f t="shared" si="1"/>
        <v>6</v>
      </c>
      <c r="C40" s="1">
        <f t="shared" si="4"/>
        <v>11</v>
      </c>
      <c r="D40" s="1">
        <f t="shared" si="4"/>
        <v>16</v>
      </c>
      <c r="E40" s="1" t="e">
        <f t="shared" si="4"/>
        <v>#VALUE!</v>
      </c>
      <c r="F40" s="3">
        <f>'Data In'!C46</f>
        <v>2.4500000000000002</v>
      </c>
      <c r="G40" s="4" t="str">
        <f>'Data In'!D46</f>
        <v>a</v>
      </c>
      <c r="H40" s="3" t="e">
        <f t="shared" si="3"/>
        <v>#VALUE!</v>
      </c>
      <c r="I40" s="1" t="e">
        <f t="shared" si="5"/>
        <v>#REF!</v>
      </c>
      <c r="J40" s="1" t="e">
        <f>IF(Table15[[#This Row],[Rising Through Threshold]],Table15[[#This Row],[Start time]],J39)</f>
        <v>#REF!</v>
      </c>
      <c r="K40" s="1" t="e">
        <f>IF(AND(Table15[[#This Row],[Rising Through Threshold]],J39&gt;0),J40-J39,"")</f>
        <v>#REF!</v>
      </c>
    </row>
    <row r="41" spans="1:11" x14ac:dyDescent="0.45">
      <c r="A41" s="1" t="s">
        <v>59</v>
      </c>
      <c r="B41" s="1">
        <f t="shared" si="1"/>
        <v>6</v>
      </c>
      <c r="C41" s="1">
        <f t="shared" si="4"/>
        <v>11</v>
      </c>
      <c r="D41" s="1">
        <f t="shared" si="4"/>
        <v>16</v>
      </c>
      <c r="E41" s="1" t="e">
        <f t="shared" si="4"/>
        <v>#VALUE!</v>
      </c>
      <c r="F41" s="3">
        <f>'Data In'!C47</f>
        <v>2.65</v>
      </c>
      <c r="G41" s="4" t="str">
        <f>'Data In'!D47</f>
        <v>a</v>
      </c>
      <c r="H41" s="3" t="e">
        <f t="shared" si="3"/>
        <v>#VALUE!</v>
      </c>
      <c r="I41" s="1" t="e">
        <f t="shared" si="5"/>
        <v>#REF!</v>
      </c>
      <c r="J41" s="1" t="e">
        <f>IF(Table15[[#This Row],[Rising Through Threshold]],Table15[[#This Row],[Start time]],J40)</f>
        <v>#REF!</v>
      </c>
      <c r="K41" s="1" t="e">
        <f>IF(AND(Table15[[#This Row],[Rising Through Threshold]],J40&gt;0),J41-J40,"")</f>
        <v>#REF!</v>
      </c>
    </row>
    <row r="42" spans="1:11" x14ac:dyDescent="0.45">
      <c r="A42" s="1" t="s">
        <v>60</v>
      </c>
      <c r="B42" s="1">
        <f t="shared" si="1"/>
        <v>6</v>
      </c>
      <c r="C42" s="1">
        <f t="shared" si="4"/>
        <v>11</v>
      </c>
      <c r="D42" s="1">
        <f t="shared" si="4"/>
        <v>16</v>
      </c>
      <c r="E42" s="1" t="e">
        <f t="shared" si="4"/>
        <v>#VALUE!</v>
      </c>
      <c r="F42" s="3">
        <f>'Data In'!C48</f>
        <v>2.82</v>
      </c>
      <c r="G42" s="4" t="str">
        <f>'Data In'!D48</f>
        <v>a</v>
      </c>
      <c r="H42" s="3" t="e">
        <f t="shared" si="3"/>
        <v>#VALUE!</v>
      </c>
      <c r="I42" s="1" t="e">
        <f t="shared" si="5"/>
        <v>#REF!</v>
      </c>
      <c r="J42" s="1" t="e">
        <f>IF(Table15[[#This Row],[Rising Through Threshold]],Table15[[#This Row],[Start time]],J41)</f>
        <v>#REF!</v>
      </c>
      <c r="K42" s="1" t="e">
        <f>IF(AND(Table15[[#This Row],[Rising Through Threshold]],J41&gt;0),J42-J41,"")</f>
        <v>#REF!</v>
      </c>
    </row>
    <row r="43" spans="1:11" x14ac:dyDescent="0.45">
      <c r="A43" s="1" t="s">
        <v>61</v>
      </c>
      <c r="B43" s="1">
        <f t="shared" si="1"/>
        <v>6</v>
      </c>
      <c r="C43" s="1">
        <f t="shared" si="4"/>
        <v>11</v>
      </c>
      <c r="D43" s="1">
        <f t="shared" si="4"/>
        <v>16</v>
      </c>
      <c r="E43" s="1" t="e">
        <f t="shared" si="4"/>
        <v>#VALUE!</v>
      </c>
      <c r="F43" s="3">
        <f>'Data In'!C49</f>
        <v>2.98</v>
      </c>
      <c r="G43" s="4" t="str">
        <f>'Data In'!D49</f>
        <v>a</v>
      </c>
      <c r="H43" s="3" t="e">
        <f t="shared" si="3"/>
        <v>#VALUE!</v>
      </c>
      <c r="I43" s="1" t="e">
        <f t="shared" si="5"/>
        <v>#REF!</v>
      </c>
      <c r="J43" s="1" t="e">
        <f>IF(Table15[[#This Row],[Rising Through Threshold]],Table15[[#This Row],[Start time]],J42)</f>
        <v>#REF!</v>
      </c>
      <c r="K43" s="1" t="e">
        <f>IF(AND(Table15[[#This Row],[Rising Through Threshold]],J42&gt;0),J43-J42,"")</f>
        <v>#REF!</v>
      </c>
    </row>
    <row r="44" spans="1:11" x14ac:dyDescent="0.45">
      <c r="A44" s="1" t="s">
        <v>62</v>
      </c>
      <c r="B44" s="1">
        <f t="shared" si="1"/>
        <v>6</v>
      </c>
      <c r="C44" s="1">
        <f t="shared" si="4"/>
        <v>11</v>
      </c>
      <c r="D44" s="1">
        <f t="shared" si="4"/>
        <v>16</v>
      </c>
      <c r="E44" s="1" t="e">
        <f t="shared" si="4"/>
        <v>#VALUE!</v>
      </c>
      <c r="F44" s="3">
        <f>'Data In'!C50</f>
        <v>3.14</v>
      </c>
      <c r="G44" s="4" t="str">
        <f>'Data In'!D50</f>
        <v>a</v>
      </c>
      <c r="H44" s="3" t="e">
        <f t="shared" si="3"/>
        <v>#VALUE!</v>
      </c>
      <c r="I44" s="1" t="e">
        <f t="shared" si="5"/>
        <v>#REF!</v>
      </c>
      <c r="J44" s="1" t="e">
        <f>IF(Table15[[#This Row],[Rising Through Threshold]],Table15[[#This Row],[Start time]],J43)</f>
        <v>#REF!</v>
      </c>
      <c r="K44" s="1" t="e">
        <f>IF(AND(Table15[[#This Row],[Rising Through Threshold]],J43&gt;0),J44-J43,"")</f>
        <v>#REF!</v>
      </c>
    </row>
    <row r="45" spans="1:11" x14ac:dyDescent="0.45">
      <c r="A45" s="1" t="s">
        <v>63</v>
      </c>
      <c r="B45" s="1">
        <f t="shared" si="1"/>
        <v>6</v>
      </c>
      <c r="C45" s="1">
        <f t="shared" si="4"/>
        <v>11</v>
      </c>
      <c r="D45" s="1">
        <f t="shared" si="4"/>
        <v>16</v>
      </c>
      <c r="E45" s="1" t="e">
        <f t="shared" si="4"/>
        <v>#VALUE!</v>
      </c>
      <c r="F45" s="3">
        <f>'Data In'!C51</f>
        <v>3.27</v>
      </c>
      <c r="G45" s="4" t="str">
        <f>'Data In'!D51</f>
        <v>a</v>
      </c>
      <c r="H45" s="3" t="e">
        <f t="shared" si="3"/>
        <v>#VALUE!</v>
      </c>
      <c r="I45" s="1" t="e">
        <f t="shared" ref="I45:I108" si="6">AND(G44&lt;Threshold,G45&gt;Threshold)</f>
        <v>#REF!</v>
      </c>
      <c r="J45" s="1" t="e">
        <f>IF(Table15[[#This Row],[Rising Through Threshold]],Table15[[#This Row],[Start time]],J44)</f>
        <v>#REF!</v>
      </c>
      <c r="K45" s="1" t="e">
        <f>IF(AND(Table15[[#This Row],[Rising Through Threshold]],J44&gt;0),J45-J44,"")</f>
        <v>#REF!</v>
      </c>
    </row>
    <row r="46" spans="1:11" x14ac:dyDescent="0.45">
      <c r="A46" s="1" t="s">
        <v>64</v>
      </c>
      <c r="B46" s="1">
        <f t="shared" si="1"/>
        <v>6</v>
      </c>
      <c r="C46" s="1">
        <f t="shared" si="4"/>
        <v>11</v>
      </c>
      <c r="D46" s="1">
        <f t="shared" si="4"/>
        <v>16</v>
      </c>
      <c r="E46" s="1" t="e">
        <f t="shared" si="4"/>
        <v>#VALUE!</v>
      </c>
      <c r="F46" s="3">
        <f>'Data In'!C52</f>
        <v>3.39</v>
      </c>
      <c r="G46" s="4" t="str">
        <f>'Data In'!D52</f>
        <v>a</v>
      </c>
      <c r="H46" s="3" t="e">
        <f t="shared" si="3"/>
        <v>#VALUE!</v>
      </c>
      <c r="I46" s="1" t="e">
        <f t="shared" si="6"/>
        <v>#REF!</v>
      </c>
      <c r="J46" s="1" t="e">
        <f>IF(Table15[[#This Row],[Rising Through Threshold]],Table15[[#This Row],[Start time]],J45)</f>
        <v>#REF!</v>
      </c>
      <c r="K46" s="1" t="e">
        <f>IF(AND(Table15[[#This Row],[Rising Through Threshold]],J45&gt;0),J46-J45,"")</f>
        <v>#REF!</v>
      </c>
    </row>
    <row r="47" spans="1:11" x14ac:dyDescent="0.45">
      <c r="A47" s="1" t="s">
        <v>65</v>
      </c>
      <c r="B47" s="1">
        <f t="shared" si="1"/>
        <v>6</v>
      </c>
      <c r="C47" s="1">
        <f t="shared" si="4"/>
        <v>11</v>
      </c>
      <c r="D47" s="1">
        <f t="shared" si="4"/>
        <v>16</v>
      </c>
      <c r="E47" s="1" t="e">
        <f t="shared" si="4"/>
        <v>#VALUE!</v>
      </c>
      <c r="F47" s="3">
        <f>'Data In'!C53</f>
        <v>3.51</v>
      </c>
      <c r="G47" s="4" t="str">
        <f>'Data In'!D53</f>
        <v>a</v>
      </c>
      <c r="H47" s="3" t="e">
        <f t="shared" si="3"/>
        <v>#VALUE!</v>
      </c>
      <c r="I47" s="1" t="e">
        <f t="shared" si="6"/>
        <v>#REF!</v>
      </c>
      <c r="J47" s="1" t="e">
        <f>IF(Table15[[#This Row],[Rising Through Threshold]],Table15[[#This Row],[Start time]],J46)</f>
        <v>#REF!</v>
      </c>
      <c r="K47" s="1" t="e">
        <f>IF(AND(Table15[[#This Row],[Rising Through Threshold]],J46&gt;0),J47-J46,"")</f>
        <v>#REF!</v>
      </c>
    </row>
    <row r="48" spans="1:11" x14ac:dyDescent="0.45">
      <c r="A48" s="1" t="s">
        <v>66</v>
      </c>
      <c r="B48" s="1">
        <f t="shared" si="1"/>
        <v>6</v>
      </c>
      <c r="C48" s="1">
        <f t="shared" ref="C48:E63" si="7">FIND(":",$A48,B48+1)</f>
        <v>11</v>
      </c>
      <c r="D48" s="1">
        <f t="shared" si="7"/>
        <v>16</v>
      </c>
      <c r="E48" s="1" t="e">
        <f t="shared" si="7"/>
        <v>#VALUE!</v>
      </c>
      <c r="F48" s="3">
        <f>'Data In'!C54</f>
        <v>3.59</v>
      </c>
      <c r="G48" s="4" t="str">
        <f>'Data In'!D54</f>
        <v>a</v>
      </c>
      <c r="H48" s="3" t="e">
        <f t="shared" si="3"/>
        <v>#VALUE!</v>
      </c>
      <c r="I48" s="1" t="e">
        <f t="shared" si="6"/>
        <v>#REF!</v>
      </c>
      <c r="J48" s="1" t="e">
        <f>IF(Table15[[#This Row],[Rising Through Threshold]],Table15[[#This Row],[Start time]],J47)</f>
        <v>#REF!</v>
      </c>
      <c r="K48" s="1" t="e">
        <f>IF(AND(Table15[[#This Row],[Rising Through Threshold]],J47&gt;0),J48-J47,"")</f>
        <v>#REF!</v>
      </c>
    </row>
    <row r="49" spans="1:11" x14ac:dyDescent="0.45">
      <c r="A49" s="1" t="s">
        <v>67</v>
      </c>
      <c r="B49" s="1">
        <f t="shared" si="1"/>
        <v>6</v>
      </c>
      <c r="C49" s="1">
        <f t="shared" si="7"/>
        <v>11</v>
      </c>
      <c r="D49" s="1">
        <f t="shared" si="7"/>
        <v>16</v>
      </c>
      <c r="E49" s="1" t="e">
        <f t="shared" si="7"/>
        <v>#VALUE!</v>
      </c>
      <c r="F49" s="3">
        <f>'Data In'!C55</f>
        <v>3.67</v>
      </c>
      <c r="G49" s="4" t="str">
        <f>'Data In'!D55</f>
        <v>a</v>
      </c>
      <c r="H49" s="3" t="e">
        <f t="shared" si="3"/>
        <v>#VALUE!</v>
      </c>
      <c r="I49" s="1" t="e">
        <f t="shared" si="6"/>
        <v>#REF!</v>
      </c>
      <c r="J49" s="1" t="e">
        <f>IF(Table15[[#This Row],[Rising Through Threshold]],Table15[[#This Row],[Start time]],J48)</f>
        <v>#REF!</v>
      </c>
      <c r="K49" s="1" t="e">
        <f>IF(AND(Table15[[#This Row],[Rising Through Threshold]],J48&gt;0),J49-J48,"")</f>
        <v>#REF!</v>
      </c>
    </row>
    <row r="50" spans="1:11" x14ac:dyDescent="0.45">
      <c r="A50" s="1" t="s">
        <v>68</v>
      </c>
      <c r="B50" s="1">
        <f t="shared" si="1"/>
        <v>6</v>
      </c>
      <c r="C50" s="1">
        <f t="shared" si="7"/>
        <v>11</v>
      </c>
      <c r="D50" s="1">
        <f t="shared" si="7"/>
        <v>16</v>
      </c>
      <c r="E50" s="1" t="e">
        <f t="shared" si="7"/>
        <v>#VALUE!</v>
      </c>
      <c r="F50" s="3">
        <f>'Data In'!C56</f>
        <v>3.73</v>
      </c>
      <c r="G50" s="4" t="str">
        <f>'Data In'!D56</f>
        <v>a</v>
      </c>
      <c r="H50" s="3" t="e">
        <f t="shared" si="3"/>
        <v>#VALUE!</v>
      </c>
      <c r="I50" s="1" t="e">
        <f t="shared" si="6"/>
        <v>#REF!</v>
      </c>
      <c r="J50" s="1" t="e">
        <f>IF(Table15[[#This Row],[Rising Through Threshold]],Table15[[#This Row],[Start time]],J49)</f>
        <v>#REF!</v>
      </c>
      <c r="K50" s="1" t="e">
        <f>IF(AND(Table15[[#This Row],[Rising Through Threshold]],J49&gt;0),J50-J49,"")</f>
        <v>#REF!</v>
      </c>
    </row>
    <row r="51" spans="1:11" x14ac:dyDescent="0.45">
      <c r="A51" s="1" t="s">
        <v>69</v>
      </c>
      <c r="B51" s="1">
        <f t="shared" si="1"/>
        <v>6</v>
      </c>
      <c r="C51" s="1">
        <f t="shared" si="7"/>
        <v>11</v>
      </c>
      <c r="D51" s="1">
        <f t="shared" si="7"/>
        <v>16</v>
      </c>
      <c r="E51" s="1" t="e">
        <f t="shared" si="7"/>
        <v>#VALUE!</v>
      </c>
      <c r="F51" s="3">
        <f>'Data In'!C57</f>
        <v>3.73</v>
      </c>
      <c r="G51" s="4" t="str">
        <f>'Data In'!D57</f>
        <v>a</v>
      </c>
      <c r="H51" s="3" t="e">
        <f t="shared" si="3"/>
        <v>#VALUE!</v>
      </c>
      <c r="I51" s="1" t="e">
        <f t="shared" si="6"/>
        <v>#REF!</v>
      </c>
      <c r="J51" s="1" t="e">
        <f>IF(Table15[[#This Row],[Rising Through Threshold]],Table15[[#This Row],[Start time]],J50)</f>
        <v>#REF!</v>
      </c>
      <c r="K51" s="1" t="e">
        <f>IF(AND(Table15[[#This Row],[Rising Through Threshold]],J50&gt;0),J51-J50,"")</f>
        <v>#REF!</v>
      </c>
    </row>
    <row r="52" spans="1:11" x14ac:dyDescent="0.45">
      <c r="A52" s="1" t="s">
        <v>70</v>
      </c>
      <c r="B52" s="1">
        <f t="shared" si="1"/>
        <v>6</v>
      </c>
      <c r="C52" s="1">
        <f t="shared" si="7"/>
        <v>11</v>
      </c>
      <c r="D52" s="1">
        <f t="shared" si="7"/>
        <v>16</v>
      </c>
      <c r="E52" s="1" t="e">
        <f t="shared" si="7"/>
        <v>#VALUE!</v>
      </c>
      <c r="F52" s="3">
        <f>'Data In'!C58</f>
        <v>3.65</v>
      </c>
      <c r="G52" s="4" t="str">
        <f>'Data In'!D58</f>
        <v>a</v>
      </c>
      <c r="H52" s="3" t="e">
        <f t="shared" si="3"/>
        <v>#VALUE!</v>
      </c>
      <c r="I52" s="1" t="e">
        <f t="shared" si="6"/>
        <v>#REF!</v>
      </c>
      <c r="J52" s="1" t="e">
        <f>IF(Table15[[#This Row],[Rising Through Threshold]],Table15[[#This Row],[Start time]],J51)</f>
        <v>#REF!</v>
      </c>
      <c r="K52" s="1" t="e">
        <f>IF(AND(Table15[[#This Row],[Rising Through Threshold]],J51&gt;0),J52-J51,"")</f>
        <v>#REF!</v>
      </c>
    </row>
    <row r="53" spans="1:11" x14ac:dyDescent="0.45">
      <c r="A53" s="1" t="s">
        <v>71</v>
      </c>
      <c r="B53" s="1">
        <f t="shared" si="1"/>
        <v>6</v>
      </c>
      <c r="C53" s="1">
        <f t="shared" si="7"/>
        <v>11</v>
      </c>
      <c r="D53" s="1">
        <f t="shared" si="7"/>
        <v>16</v>
      </c>
      <c r="E53" s="1" t="e">
        <f t="shared" si="7"/>
        <v>#VALUE!</v>
      </c>
      <c r="F53" s="3">
        <f>'Data In'!C59</f>
        <v>3.45</v>
      </c>
      <c r="G53" s="4" t="str">
        <f>'Data In'!D59</f>
        <v>a</v>
      </c>
      <c r="H53" s="3" t="e">
        <f t="shared" si="3"/>
        <v>#VALUE!</v>
      </c>
      <c r="I53" s="1" t="e">
        <f t="shared" si="6"/>
        <v>#REF!</v>
      </c>
      <c r="J53" s="1" t="e">
        <f>IF(Table15[[#This Row],[Rising Through Threshold]],Table15[[#This Row],[Start time]],J52)</f>
        <v>#REF!</v>
      </c>
      <c r="K53" s="1" t="e">
        <f>IF(AND(Table15[[#This Row],[Rising Through Threshold]],J52&gt;0),J53-J52,"")</f>
        <v>#REF!</v>
      </c>
    </row>
    <row r="54" spans="1:11" x14ac:dyDescent="0.45">
      <c r="A54" s="1" t="s">
        <v>72</v>
      </c>
      <c r="B54" s="1">
        <f t="shared" si="1"/>
        <v>6</v>
      </c>
      <c r="C54" s="1">
        <f t="shared" si="7"/>
        <v>11</v>
      </c>
      <c r="D54" s="1">
        <f t="shared" si="7"/>
        <v>16</v>
      </c>
      <c r="E54" s="1" t="e">
        <f t="shared" si="7"/>
        <v>#VALUE!</v>
      </c>
      <c r="F54" s="3">
        <f>'Data In'!C60</f>
        <v>3.08</v>
      </c>
      <c r="G54" s="4" t="str">
        <f>'Data In'!D60</f>
        <v>a</v>
      </c>
      <c r="H54" s="3" t="e">
        <f t="shared" si="3"/>
        <v>#VALUE!</v>
      </c>
      <c r="I54" s="1" t="e">
        <f t="shared" si="6"/>
        <v>#REF!</v>
      </c>
      <c r="J54" s="1" t="e">
        <f>IF(Table15[[#This Row],[Rising Through Threshold]],Table15[[#This Row],[Start time]],J53)</f>
        <v>#REF!</v>
      </c>
      <c r="K54" s="1" t="e">
        <f>IF(AND(Table15[[#This Row],[Rising Through Threshold]],J53&gt;0),J54-J53,"")</f>
        <v>#REF!</v>
      </c>
    </row>
    <row r="55" spans="1:11" x14ac:dyDescent="0.45">
      <c r="A55" s="1" t="s">
        <v>73</v>
      </c>
      <c r="B55" s="1">
        <f t="shared" si="1"/>
        <v>6</v>
      </c>
      <c r="C55" s="1">
        <f t="shared" si="7"/>
        <v>11</v>
      </c>
      <c r="D55" s="1">
        <f t="shared" si="7"/>
        <v>16</v>
      </c>
      <c r="E55" s="1" t="e">
        <f t="shared" si="7"/>
        <v>#VALUE!</v>
      </c>
      <c r="F55" s="3">
        <f>'Data In'!C61</f>
        <v>2.4900000000000002</v>
      </c>
      <c r="G55" s="4" t="str">
        <f>'Data In'!D61</f>
        <v>a</v>
      </c>
      <c r="H55" s="3" t="e">
        <f t="shared" si="3"/>
        <v>#VALUE!</v>
      </c>
      <c r="I55" s="1" t="e">
        <f t="shared" si="6"/>
        <v>#REF!</v>
      </c>
      <c r="J55" s="1" t="e">
        <f>IF(Table15[[#This Row],[Rising Through Threshold]],Table15[[#This Row],[Start time]],J54)</f>
        <v>#REF!</v>
      </c>
      <c r="K55" s="1" t="e">
        <f>IF(AND(Table15[[#This Row],[Rising Through Threshold]],J54&gt;0),J55-J54,"")</f>
        <v>#REF!</v>
      </c>
    </row>
    <row r="56" spans="1:11" x14ac:dyDescent="0.45">
      <c r="A56" s="1" t="s">
        <v>74</v>
      </c>
      <c r="B56" s="1">
        <f t="shared" si="1"/>
        <v>6</v>
      </c>
      <c r="C56" s="1">
        <f t="shared" si="7"/>
        <v>11</v>
      </c>
      <c r="D56" s="1">
        <f t="shared" si="7"/>
        <v>16</v>
      </c>
      <c r="E56" s="1" t="e">
        <f t="shared" si="7"/>
        <v>#VALUE!</v>
      </c>
      <c r="F56" s="3">
        <f>'Data In'!C62</f>
        <v>1.8</v>
      </c>
      <c r="G56" s="4" t="str">
        <f>'Data In'!D62</f>
        <v>a</v>
      </c>
      <c r="H56" s="3" t="e">
        <f t="shared" si="3"/>
        <v>#VALUE!</v>
      </c>
      <c r="I56" s="1" t="e">
        <f t="shared" si="6"/>
        <v>#REF!</v>
      </c>
      <c r="J56" s="1" t="e">
        <f>IF(Table15[[#This Row],[Rising Through Threshold]],Table15[[#This Row],[Start time]],J55)</f>
        <v>#REF!</v>
      </c>
      <c r="K56" s="1" t="e">
        <f>IF(AND(Table15[[#This Row],[Rising Through Threshold]],J55&gt;0),J56-J55,"")</f>
        <v>#REF!</v>
      </c>
    </row>
    <row r="57" spans="1:11" x14ac:dyDescent="0.45">
      <c r="A57" s="1" t="s">
        <v>75</v>
      </c>
      <c r="B57" s="1">
        <f t="shared" si="1"/>
        <v>6</v>
      </c>
      <c r="C57" s="1">
        <f t="shared" si="7"/>
        <v>11</v>
      </c>
      <c r="D57" s="1">
        <f t="shared" si="7"/>
        <v>16</v>
      </c>
      <c r="E57" s="1" t="e">
        <f t="shared" si="7"/>
        <v>#VALUE!</v>
      </c>
      <c r="F57" s="3">
        <f>'Data In'!C63</f>
        <v>1.08</v>
      </c>
      <c r="G57" s="4" t="str">
        <f>'Data In'!D63</f>
        <v>a</v>
      </c>
      <c r="H57" s="3" t="e">
        <f t="shared" si="3"/>
        <v>#VALUE!</v>
      </c>
      <c r="I57" s="1" t="e">
        <f t="shared" si="6"/>
        <v>#REF!</v>
      </c>
      <c r="J57" s="1" t="e">
        <f>IF(Table15[[#This Row],[Rising Through Threshold]],Table15[[#This Row],[Start time]],J56)</f>
        <v>#REF!</v>
      </c>
      <c r="K57" s="1" t="e">
        <f>IF(AND(Table15[[#This Row],[Rising Through Threshold]],J56&gt;0),J57-J56,"")</f>
        <v>#REF!</v>
      </c>
    </row>
    <row r="58" spans="1:11" x14ac:dyDescent="0.45">
      <c r="A58" s="1" t="s">
        <v>76</v>
      </c>
      <c r="B58" s="1">
        <f t="shared" si="1"/>
        <v>6</v>
      </c>
      <c r="C58" s="1">
        <f t="shared" si="7"/>
        <v>11</v>
      </c>
      <c r="D58" s="1">
        <f t="shared" si="7"/>
        <v>16</v>
      </c>
      <c r="E58" s="1" t="e">
        <f t="shared" si="7"/>
        <v>#VALUE!</v>
      </c>
      <c r="F58" s="3">
        <f>'Data In'!C64</f>
        <v>0.47</v>
      </c>
      <c r="G58" s="4" t="str">
        <f>'Data In'!D64</f>
        <v>a</v>
      </c>
      <c r="H58" s="3" t="e">
        <f t="shared" si="3"/>
        <v>#VALUE!</v>
      </c>
      <c r="I58" s="1" t="e">
        <f t="shared" si="6"/>
        <v>#REF!</v>
      </c>
      <c r="J58" s="1" t="e">
        <f>IF(Table15[[#This Row],[Rising Through Threshold]],Table15[[#This Row],[Start time]],J57)</f>
        <v>#REF!</v>
      </c>
      <c r="K58" s="1" t="e">
        <f>IF(AND(Table15[[#This Row],[Rising Through Threshold]],J57&gt;0),J58-J57,"")</f>
        <v>#REF!</v>
      </c>
    </row>
    <row r="59" spans="1:11" x14ac:dyDescent="0.45">
      <c r="A59" s="1" t="s">
        <v>77</v>
      </c>
      <c r="B59" s="1">
        <f t="shared" si="1"/>
        <v>6</v>
      </c>
      <c r="C59" s="1">
        <f t="shared" si="7"/>
        <v>11</v>
      </c>
      <c r="D59" s="1">
        <f t="shared" si="7"/>
        <v>16</v>
      </c>
      <c r="E59" s="1" t="e">
        <f t="shared" si="7"/>
        <v>#VALUE!</v>
      </c>
      <c r="F59" s="3">
        <f>'Data In'!C65</f>
        <v>0.43</v>
      </c>
      <c r="G59" s="4" t="str">
        <f>'Data In'!D65</f>
        <v>a</v>
      </c>
      <c r="H59" s="3" t="e">
        <f t="shared" si="3"/>
        <v>#VALUE!</v>
      </c>
      <c r="I59" s="1" t="e">
        <f t="shared" si="6"/>
        <v>#REF!</v>
      </c>
      <c r="J59" s="1" t="e">
        <f>IF(Table15[[#This Row],[Rising Through Threshold]],Table15[[#This Row],[Start time]],J58)</f>
        <v>#REF!</v>
      </c>
      <c r="K59" s="1" t="e">
        <f>IF(AND(Table15[[#This Row],[Rising Through Threshold]],J58&gt;0),J59-J58,"")</f>
        <v>#REF!</v>
      </c>
    </row>
    <row r="60" spans="1:11" x14ac:dyDescent="0.45">
      <c r="A60" s="1" t="s">
        <v>78</v>
      </c>
      <c r="B60" s="1">
        <f t="shared" si="1"/>
        <v>6</v>
      </c>
      <c r="C60" s="1">
        <f t="shared" si="7"/>
        <v>11</v>
      </c>
      <c r="D60" s="1">
        <f t="shared" si="7"/>
        <v>16</v>
      </c>
      <c r="E60" s="1" t="e">
        <f t="shared" si="7"/>
        <v>#VALUE!</v>
      </c>
      <c r="F60" s="3">
        <f>'Data In'!C66</f>
        <v>0.47</v>
      </c>
      <c r="G60" s="4" t="str">
        <f>'Data In'!D66</f>
        <v>a</v>
      </c>
      <c r="H60" s="3" t="e">
        <f t="shared" si="3"/>
        <v>#VALUE!</v>
      </c>
      <c r="I60" s="1" t="e">
        <f t="shared" si="6"/>
        <v>#REF!</v>
      </c>
      <c r="J60" s="1" t="e">
        <f>IF(Table15[[#This Row],[Rising Through Threshold]],Table15[[#This Row],[Start time]],J59)</f>
        <v>#REF!</v>
      </c>
      <c r="K60" s="1" t="e">
        <f>IF(AND(Table15[[#This Row],[Rising Through Threshold]],J59&gt;0),J60-J59,"")</f>
        <v>#REF!</v>
      </c>
    </row>
    <row r="61" spans="1:11" x14ac:dyDescent="0.45">
      <c r="A61" s="1" t="s">
        <v>79</v>
      </c>
      <c r="B61" s="1">
        <f t="shared" si="1"/>
        <v>6</v>
      </c>
      <c r="C61" s="1">
        <f t="shared" si="7"/>
        <v>11</v>
      </c>
      <c r="D61" s="1">
        <f t="shared" si="7"/>
        <v>16</v>
      </c>
      <c r="E61" s="1" t="e">
        <f t="shared" si="7"/>
        <v>#VALUE!</v>
      </c>
      <c r="F61" s="3">
        <f>'Data In'!C67</f>
        <v>0.53</v>
      </c>
      <c r="G61" s="4" t="str">
        <f>'Data In'!D67</f>
        <v>a</v>
      </c>
      <c r="H61" s="3" t="e">
        <f t="shared" si="3"/>
        <v>#VALUE!</v>
      </c>
      <c r="I61" s="1" t="e">
        <f t="shared" si="6"/>
        <v>#REF!</v>
      </c>
      <c r="J61" s="1" t="e">
        <f>IF(Table15[[#This Row],[Rising Through Threshold]],Table15[[#This Row],[Start time]],J60)</f>
        <v>#REF!</v>
      </c>
      <c r="K61" s="1" t="e">
        <f>IF(AND(Table15[[#This Row],[Rising Through Threshold]],J60&gt;0),J61-J60,"")</f>
        <v>#REF!</v>
      </c>
    </row>
    <row r="62" spans="1:11" x14ac:dyDescent="0.45">
      <c r="A62" s="1" t="s">
        <v>80</v>
      </c>
      <c r="B62" s="1">
        <f t="shared" si="1"/>
        <v>6</v>
      </c>
      <c r="C62" s="1">
        <f t="shared" si="7"/>
        <v>11</v>
      </c>
      <c r="D62" s="1">
        <f t="shared" si="7"/>
        <v>16</v>
      </c>
      <c r="E62" s="1" t="e">
        <f t="shared" si="7"/>
        <v>#VALUE!</v>
      </c>
      <c r="F62" s="3">
        <f>'Data In'!C68</f>
        <v>0.67</v>
      </c>
      <c r="G62" s="4" t="str">
        <f>'Data In'!D68</f>
        <v>a</v>
      </c>
      <c r="H62" s="3" t="e">
        <f t="shared" si="3"/>
        <v>#VALUE!</v>
      </c>
      <c r="I62" s="1" t="e">
        <f t="shared" si="6"/>
        <v>#REF!</v>
      </c>
      <c r="J62" s="1" t="e">
        <f>IF(Table15[[#This Row],[Rising Through Threshold]],Table15[[#This Row],[Start time]],J61)</f>
        <v>#REF!</v>
      </c>
      <c r="K62" s="1" t="e">
        <f>IF(AND(Table15[[#This Row],[Rising Through Threshold]],J61&gt;0),J62-J61,"")</f>
        <v>#REF!</v>
      </c>
    </row>
    <row r="63" spans="1:11" x14ac:dyDescent="0.45">
      <c r="A63" s="1" t="s">
        <v>81</v>
      </c>
      <c r="B63" s="1">
        <f t="shared" si="1"/>
        <v>6</v>
      </c>
      <c r="C63" s="1">
        <f t="shared" si="7"/>
        <v>11</v>
      </c>
      <c r="D63" s="1">
        <f t="shared" si="7"/>
        <v>16</v>
      </c>
      <c r="E63" s="1" t="e">
        <f t="shared" si="7"/>
        <v>#VALUE!</v>
      </c>
      <c r="F63" s="3">
        <f>'Data In'!C69</f>
        <v>0.86</v>
      </c>
      <c r="G63" s="4" t="str">
        <f>'Data In'!D69</f>
        <v>a</v>
      </c>
      <c r="H63" s="3" t="e">
        <f t="shared" si="3"/>
        <v>#VALUE!</v>
      </c>
      <c r="I63" s="1" t="e">
        <f t="shared" si="6"/>
        <v>#REF!</v>
      </c>
      <c r="J63" s="1" t="e">
        <f>IF(Table15[[#This Row],[Rising Through Threshold]],Table15[[#This Row],[Start time]],J62)</f>
        <v>#REF!</v>
      </c>
      <c r="K63" s="1" t="e">
        <f>IF(AND(Table15[[#This Row],[Rising Through Threshold]],J62&gt;0),J63-J62,"")</f>
        <v>#REF!</v>
      </c>
    </row>
    <row r="64" spans="1:11" x14ac:dyDescent="0.45">
      <c r="A64" s="1" t="s">
        <v>82</v>
      </c>
      <c r="B64" s="1">
        <f t="shared" si="1"/>
        <v>6</v>
      </c>
      <c r="C64" s="1">
        <f t="shared" ref="C64:E127" si="8">FIND(":",$A64,B64+1)</f>
        <v>11</v>
      </c>
      <c r="D64" s="1">
        <f t="shared" si="8"/>
        <v>16</v>
      </c>
      <c r="E64" s="1" t="e">
        <f t="shared" si="8"/>
        <v>#VALUE!</v>
      </c>
      <c r="F64" s="3">
        <f>'Data In'!C70</f>
        <v>1.1200000000000001</v>
      </c>
      <c r="G64" s="4" t="str">
        <f>'Data In'!D70</f>
        <v>a</v>
      </c>
      <c r="H64" s="3" t="e">
        <f t="shared" si="3"/>
        <v>#VALUE!</v>
      </c>
      <c r="I64" s="1" t="e">
        <f t="shared" si="6"/>
        <v>#REF!</v>
      </c>
      <c r="J64" s="1" t="e">
        <f>IF(Table15[[#This Row],[Rising Through Threshold]],Table15[[#This Row],[Start time]],J63)</f>
        <v>#REF!</v>
      </c>
      <c r="K64" s="1" t="e">
        <f>IF(AND(Table15[[#This Row],[Rising Through Threshold]],J63&gt;0),J64-J63,"")</f>
        <v>#REF!</v>
      </c>
    </row>
    <row r="65" spans="1:11" x14ac:dyDescent="0.45">
      <c r="A65" s="1" t="s">
        <v>83</v>
      </c>
      <c r="B65" s="1">
        <f t="shared" si="1"/>
        <v>6</v>
      </c>
      <c r="C65" s="1">
        <f t="shared" si="8"/>
        <v>11</v>
      </c>
      <c r="D65" s="1">
        <f t="shared" si="8"/>
        <v>16</v>
      </c>
      <c r="E65" s="1" t="e">
        <f t="shared" si="8"/>
        <v>#VALUE!</v>
      </c>
      <c r="F65" s="3">
        <f>'Data In'!C71</f>
        <v>1.39</v>
      </c>
      <c r="G65" s="4" t="str">
        <f>'Data In'!D71</f>
        <v>a</v>
      </c>
      <c r="H65" s="3" t="e">
        <f t="shared" si="3"/>
        <v>#VALUE!</v>
      </c>
      <c r="I65" s="1" t="e">
        <f t="shared" si="6"/>
        <v>#REF!</v>
      </c>
      <c r="J65" s="1" t="e">
        <f>IF(Table15[[#This Row],[Rising Through Threshold]],Table15[[#This Row],[Start time]],J64)</f>
        <v>#REF!</v>
      </c>
      <c r="K65" s="1" t="e">
        <f>IF(AND(Table15[[#This Row],[Rising Through Threshold]],J64&gt;0),J65-J64,"")</f>
        <v>#REF!</v>
      </c>
    </row>
    <row r="66" spans="1:11" x14ac:dyDescent="0.45">
      <c r="A66" s="1" t="s">
        <v>84</v>
      </c>
      <c r="B66" s="1">
        <f t="shared" si="1"/>
        <v>6</v>
      </c>
      <c r="C66" s="1">
        <f t="shared" si="8"/>
        <v>11</v>
      </c>
      <c r="D66" s="1">
        <f t="shared" si="8"/>
        <v>16</v>
      </c>
      <c r="E66" s="1" t="e">
        <f t="shared" si="8"/>
        <v>#VALUE!</v>
      </c>
      <c r="F66" s="3">
        <f>'Data In'!C72</f>
        <v>1.65</v>
      </c>
      <c r="G66" s="4" t="str">
        <f>'Data In'!D72</f>
        <v>a</v>
      </c>
      <c r="H66" s="3" t="e">
        <f t="shared" si="3"/>
        <v>#VALUE!</v>
      </c>
      <c r="I66" s="1" t="e">
        <f t="shared" si="6"/>
        <v>#REF!</v>
      </c>
      <c r="J66" s="1" t="e">
        <f>IF(Table15[[#This Row],[Rising Through Threshold]],Table15[[#This Row],[Start time]],J65)</f>
        <v>#REF!</v>
      </c>
      <c r="K66" s="1" t="e">
        <f>IF(AND(Table15[[#This Row],[Rising Through Threshold]],J65&gt;0),J66-J65,"")</f>
        <v>#REF!</v>
      </c>
    </row>
    <row r="67" spans="1:11" x14ac:dyDescent="0.45">
      <c r="A67" s="1" t="s">
        <v>85</v>
      </c>
      <c r="B67" s="1">
        <f t="shared" ref="B67:B130" si="9">FIND(":",$A67,1)</f>
        <v>6</v>
      </c>
      <c r="C67" s="1">
        <f t="shared" si="8"/>
        <v>11</v>
      </c>
      <c r="D67" s="1">
        <f t="shared" si="8"/>
        <v>16</v>
      </c>
      <c r="E67" s="1" t="e">
        <f t="shared" si="8"/>
        <v>#VALUE!</v>
      </c>
      <c r="F67" s="3">
        <f>'Data In'!C73</f>
        <v>1.9</v>
      </c>
      <c r="G67" s="4" t="str">
        <f>'Data In'!D73</f>
        <v>a</v>
      </c>
      <c r="H67" s="3" t="e">
        <f t="shared" ref="H67:H130" si="10">_xlfn.NUMBERVALUE(MID($A67,E67+1,1000))</f>
        <v>#VALUE!</v>
      </c>
      <c r="I67" s="1" t="e">
        <f t="shared" si="6"/>
        <v>#REF!</v>
      </c>
      <c r="J67" s="1" t="e">
        <f>IF(Table15[[#This Row],[Rising Through Threshold]],Table15[[#This Row],[Start time]],J66)</f>
        <v>#REF!</v>
      </c>
      <c r="K67" s="1" t="e">
        <f>IF(AND(Table15[[#This Row],[Rising Through Threshold]],J66&gt;0),J67-J66,"")</f>
        <v>#REF!</v>
      </c>
    </row>
    <row r="68" spans="1:11" x14ac:dyDescent="0.45">
      <c r="A68" s="1" t="s">
        <v>86</v>
      </c>
      <c r="B68" s="1">
        <f t="shared" si="9"/>
        <v>6</v>
      </c>
      <c r="C68" s="1">
        <f t="shared" si="8"/>
        <v>11</v>
      </c>
      <c r="D68" s="1">
        <f t="shared" si="8"/>
        <v>16</v>
      </c>
      <c r="E68" s="1" t="e">
        <f t="shared" si="8"/>
        <v>#VALUE!</v>
      </c>
      <c r="F68" s="3">
        <f>'Data In'!C74</f>
        <v>2.16</v>
      </c>
      <c r="G68" s="4" t="str">
        <f>'Data In'!D74</f>
        <v>a</v>
      </c>
      <c r="H68" s="3" t="e">
        <f t="shared" si="10"/>
        <v>#VALUE!</v>
      </c>
      <c r="I68" s="1" t="e">
        <f t="shared" si="6"/>
        <v>#REF!</v>
      </c>
      <c r="J68" s="1" t="e">
        <f>IF(Table15[[#This Row],[Rising Through Threshold]],Table15[[#This Row],[Start time]],J67)</f>
        <v>#REF!</v>
      </c>
      <c r="K68" s="1" t="e">
        <f>IF(AND(Table15[[#This Row],[Rising Through Threshold]],J67&gt;0),J68-J67,"")</f>
        <v>#REF!</v>
      </c>
    </row>
    <row r="69" spans="1:11" x14ac:dyDescent="0.45">
      <c r="A69" s="1" t="s">
        <v>87</v>
      </c>
      <c r="B69" s="1">
        <f t="shared" si="9"/>
        <v>6</v>
      </c>
      <c r="C69" s="1">
        <f t="shared" si="8"/>
        <v>11</v>
      </c>
      <c r="D69" s="1">
        <f t="shared" si="8"/>
        <v>16</v>
      </c>
      <c r="E69" s="1" t="e">
        <f t="shared" si="8"/>
        <v>#VALUE!</v>
      </c>
      <c r="F69" s="3">
        <f>'Data In'!C75</f>
        <v>2.37</v>
      </c>
      <c r="G69" s="4" t="str">
        <f>'Data In'!D75</f>
        <v>a</v>
      </c>
      <c r="H69" s="3" t="e">
        <f t="shared" si="10"/>
        <v>#VALUE!</v>
      </c>
      <c r="I69" s="1" t="e">
        <f t="shared" si="6"/>
        <v>#REF!</v>
      </c>
      <c r="J69" s="1" t="e">
        <f>IF(Table15[[#This Row],[Rising Through Threshold]],Table15[[#This Row],[Start time]],J68)</f>
        <v>#REF!</v>
      </c>
      <c r="K69" s="1" t="e">
        <f>IF(AND(Table15[[#This Row],[Rising Through Threshold]],J68&gt;0),J69-J68,"")</f>
        <v>#REF!</v>
      </c>
    </row>
    <row r="70" spans="1:11" x14ac:dyDescent="0.45">
      <c r="A70" s="1" t="s">
        <v>88</v>
      </c>
      <c r="B70" s="1">
        <f t="shared" si="9"/>
        <v>6</v>
      </c>
      <c r="C70" s="1">
        <f t="shared" si="8"/>
        <v>11</v>
      </c>
      <c r="D70" s="1">
        <f t="shared" si="8"/>
        <v>16</v>
      </c>
      <c r="E70" s="1" t="e">
        <f t="shared" si="8"/>
        <v>#VALUE!</v>
      </c>
      <c r="F70" s="3">
        <f>'Data In'!C76</f>
        <v>2.59</v>
      </c>
      <c r="G70" s="4" t="str">
        <f>'Data In'!D76</f>
        <v>a</v>
      </c>
      <c r="H70" s="3" t="e">
        <f t="shared" si="10"/>
        <v>#VALUE!</v>
      </c>
      <c r="I70" s="1" t="e">
        <f t="shared" si="6"/>
        <v>#REF!</v>
      </c>
      <c r="J70" s="1" t="e">
        <f>IF(Table15[[#This Row],[Rising Through Threshold]],Table15[[#This Row],[Start time]],J69)</f>
        <v>#REF!</v>
      </c>
      <c r="K70" s="1" t="e">
        <f>IF(AND(Table15[[#This Row],[Rising Through Threshold]],J69&gt;0),J70-J69,"")</f>
        <v>#REF!</v>
      </c>
    </row>
    <row r="71" spans="1:11" x14ac:dyDescent="0.45">
      <c r="A71" s="1" t="s">
        <v>89</v>
      </c>
      <c r="B71" s="1">
        <f t="shared" si="9"/>
        <v>6</v>
      </c>
      <c r="C71" s="1">
        <f t="shared" si="8"/>
        <v>11</v>
      </c>
      <c r="D71" s="1">
        <f t="shared" si="8"/>
        <v>16</v>
      </c>
      <c r="E71" s="1" t="e">
        <f t="shared" si="8"/>
        <v>#VALUE!</v>
      </c>
      <c r="F71" s="3">
        <f>'Data In'!C77</f>
        <v>2.76</v>
      </c>
      <c r="G71" s="4" t="str">
        <f>'Data In'!D77</f>
        <v>a</v>
      </c>
      <c r="H71" s="3" t="e">
        <f t="shared" si="10"/>
        <v>#VALUE!</v>
      </c>
      <c r="I71" s="1" t="e">
        <f t="shared" si="6"/>
        <v>#REF!</v>
      </c>
      <c r="J71" s="1" t="e">
        <f>IF(Table15[[#This Row],[Rising Through Threshold]],Table15[[#This Row],[Start time]],J70)</f>
        <v>#REF!</v>
      </c>
      <c r="K71" s="1" t="e">
        <f>IF(AND(Table15[[#This Row],[Rising Through Threshold]],J70&gt;0),J71-J70,"")</f>
        <v>#REF!</v>
      </c>
    </row>
    <row r="72" spans="1:11" x14ac:dyDescent="0.45">
      <c r="A72" s="1" t="s">
        <v>90</v>
      </c>
      <c r="B72" s="1">
        <f t="shared" si="9"/>
        <v>6</v>
      </c>
      <c r="C72" s="1">
        <f t="shared" si="8"/>
        <v>11</v>
      </c>
      <c r="D72" s="1">
        <f t="shared" si="8"/>
        <v>16</v>
      </c>
      <c r="E72" s="1" t="e">
        <f t="shared" si="8"/>
        <v>#VALUE!</v>
      </c>
      <c r="F72" s="3">
        <f>'Data In'!C78</f>
        <v>2.94</v>
      </c>
      <c r="G72" s="4" t="str">
        <f>'Data In'!D78</f>
        <v>a</v>
      </c>
      <c r="H72" s="3" t="e">
        <f t="shared" si="10"/>
        <v>#VALUE!</v>
      </c>
      <c r="I72" s="1" t="e">
        <f t="shared" si="6"/>
        <v>#REF!</v>
      </c>
      <c r="J72" s="1" t="e">
        <f>IF(Table15[[#This Row],[Rising Through Threshold]],Table15[[#This Row],[Start time]],J71)</f>
        <v>#REF!</v>
      </c>
      <c r="K72" s="1" t="e">
        <f>IF(AND(Table15[[#This Row],[Rising Through Threshold]],J71&gt;0),J72-J71,"")</f>
        <v>#REF!</v>
      </c>
    </row>
    <row r="73" spans="1:11" x14ac:dyDescent="0.45">
      <c r="A73" s="1" t="s">
        <v>91</v>
      </c>
      <c r="B73" s="1">
        <f t="shared" si="9"/>
        <v>6</v>
      </c>
      <c r="C73" s="1">
        <f t="shared" si="8"/>
        <v>11</v>
      </c>
      <c r="D73" s="1">
        <f t="shared" si="8"/>
        <v>16</v>
      </c>
      <c r="E73" s="1" t="e">
        <f t="shared" si="8"/>
        <v>#VALUE!</v>
      </c>
      <c r="F73" s="3">
        <f>'Data In'!C79</f>
        <v>3.1</v>
      </c>
      <c r="G73" s="4" t="str">
        <f>'Data In'!D79</f>
        <v>a</v>
      </c>
      <c r="H73" s="3" t="e">
        <f t="shared" si="10"/>
        <v>#VALUE!</v>
      </c>
      <c r="I73" s="1" t="e">
        <f t="shared" si="6"/>
        <v>#REF!</v>
      </c>
      <c r="J73" s="1" t="e">
        <f>IF(Table15[[#This Row],[Rising Through Threshold]],Table15[[#This Row],[Start time]],J72)</f>
        <v>#REF!</v>
      </c>
      <c r="K73" s="1" t="e">
        <f>IF(AND(Table15[[#This Row],[Rising Through Threshold]],J72&gt;0),J73-J72,"")</f>
        <v>#REF!</v>
      </c>
    </row>
    <row r="74" spans="1:11" x14ac:dyDescent="0.45">
      <c r="A74" s="1" t="s">
        <v>92</v>
      </c>
      <c r="B74" s="1">
        <f t="shared" si="9"/>
        <v>6</v>
      </c>
      <c r="C74" s="1">
        <f t="shared" si="8"/>
        <v>11</v>
      </c>
      <c r="D74" s="1">
        <f t="shared" si="8"/>
        <v>16</v>
      </c>
      <c r="E74" s="1" t="e">
        <f t="shared" si="8"/>
        <v>#VALUE!</v>
      </c>
      <c r="F74" s="3">
        <f>'Data In'!C80</f>
        <v>3.22</v>
      </c>
      <c r="G74" s="4" t="str">
        <f>'Data In'!D80</f>
        <v>a</v>
      </c>
      <c r="H74" s="3" t="e">
        <f t="shared" si="10"/>
        <v>#VALUE!</v>
      </c>
      <c r="I74" s="1" t="e">
        <f t="shared" si="6"/>
        <v>#REF!</v>
      </c>
      <c r="J74" s="1" t="e">
        <f>IF(Table15[[#This Row],[Rising Through Threshold]],Table15[[#This Row],[Start time]],J73)</f>
        <v>#REF!</v>
      </c>
      <c r="K74" s="1" t="e">
        <f>IF(AND(Table15[[#This Row],[Rising Through Threshold]],J73&gt;0),J74-J73,"")</f>
        <v>#REF!</v>
      </c>
    </row>
    <row r="75" spans="1:11" x14ac:dyDescent="0.45">
      <c r="A75" s="1" t="s">
        <v>93</v>
      </c>
      <c r="B75" s="1">
        <f t="shared" si="9"/>
        <v>6</v>
      </c>
      <c r="C75" s="1">
        <f t="shared" si="8"/>
        <v>11</v>
      </c>
      <c r="D75" s="1">
        <f t="shared" si="8"/>
        <v>16</v>
      </c>
      <c r="E75" s="1" t="e">
        <f t="shared" si="8"/>
        <v>#VALUE!</v>
      </c>
      <c r="F75" s="3">
        <f>'Data In'!C81</f>
        <v>3.35</v>
      </c>
      <c r="G75" s="4" t="str">
        <f>'Data In'!D81</f>
        <v>a</v>
      </c>
      <c r="H75" s="3" t="e">
        <f t="shared" si="10"/>
        <v>#VALUE!</v>
      </c>
      <c r="I75" s="1" t="e">
        <f t="shared" si="6"/>
        <v>#REF!</v>
      </c>
      <c r="J75" s="1" t="e">
        <f>IF(Table15[[#This Row],[Rising Through Threshold]],Table15[[#This Row],[Start time]],J74)</f>
        <v>#REF!</v>
      </c>
      <c r="K75" s="1" t="e">
        <f>IF(AND(Table15[[#This Row],[Rising Through Threshold]],J74&gt;0),J75-J74,"")</f>
        <v>#REF!</v>
      </c>
    </row>
    <row r="76" spans="1:11" x14ac:dyDescent="0.45">
      <c r="A76" s="1" t="s">
        <v>94</v>
      </c>
      <c r="B76" s="1">
        <f t="shared" si="9"/>
        <v>6</v>
      </c>
      <c r="C76" s="1">
        <f t="shared" si="8"/>
        <v>11</v>
      </c>
      <c r="D76" s="1">
        <f t="shared" si="8"/>
        <v>16</v>
      </c>
      <c r="E76" s="1" t="e">
        <f t="shared" si="8"/>
        <v>#VALUE!</v>
      </c>
      <c r="F76" s="3">
        <f>'Data In'!C82</f>
        <v>3.47</v>
      </c>
      <c r="G76" s="4" t="str">
        <f>'Data In'!D82</f>
        <v>a</v>
      </c>
      <c r="H76" s="3" t="e">
        <f t="shared" si="10"/>
        <v>#VALUE!</v>
      </c>
      <c r="I76" s="1" t="e">
        <f t="shared" si="6"/>
        <v>#REF!</v>
      </c>
      <c r="J76" s="1" t="e">
        <f>IF(Table15[[#This Row],[Rising Through Threshold]],Table15[[#This Row],[Start time]],J75)</f>
        <v>#REF!</v>
      </c>
      <c r="K76" s="1" t="e">
        <f>IF(AND(Table15[[#This Row],[Rising Through Threshold]],J75&gt;0),J76-J75,"")</f>
        <v>#REF!</v>
      </c>
    </row>
    <row r="77" spans="1:11" x14ac:dyDescent="0.45">
      <c r="A77" s="1" t="s">
        <v>95</v>
      </c>
      <c r="B77" s="1">
        <f t="shared" si="9"/>
        <v>6</v>
      </c>
      <c r="C77" s="1">
        <f t="shared" si="8"/>
        <v>11</v>
      </c>
      <c r="D77" s="1">
        <f t="shared" si="8"/>
        <v>16</v>
      </c>
      <c r="E77" s="1" t="e">
        <f t="shared" si="8"/>
        <v>#VALUE!</v>
      </c>
      <c r="F77" s="3">
        <f>'Data In'!C83</f>
        <v>3.57</v>
      </c>
      <c r="G77" s="4" t="str">
        <f>'Data In'!D83</f>
        <v>a</v>
      </c>
      <c r="H77" s="3" t="e">
        <f t="shared" si="10"/>
        <v>#VALUE!</v>
      </c>
      <c r="I77" s="1" t="e">
        <f t="shared" si="6"/>
        <v>#REF!</v>
      </c>
      <c r="J77" s="1" t="e">
        <f>IF(Table15[[#This Row],[Rising Through Threshold]],Table15[[#This Row],[Start time]],J76)</f>
        <v>#REF!</v>
      </c>
      <c r="K77" s="1" t="e">
        <f>IF(AND(Table15[[#This Row],[Rising Through Threshold]],J76&gt;0),J77-J76,"")</f>
        <v>#REF!</v>
      </c>
    </row>
    <row r="78" spans="1:11" x14ac:dyDescent="0.45">
      <c r="A78" s="1" t="s">
        <v>96</v>
      </c>
      <c r="B78" s="1">
        <f t="shared" si="9"/>
        <v>6</v>
      </c>
      <c r="C78" s="1">
        <f t="shared" si="8"/>
        <v>11</v>
      </c>
      <c r="D78" s="1">
        <f t="shared" si="8"/>
        <v>16</v>
      </c>
      <c r="E78" s="1" t="e">
        <f t="shared" si="8"/>
        <v>#VALUE!</v>
      </c>
      <c r="F78" s="3">
        <f>'Data In'!C84</f>
        <v>3.65</v>
      </c>
      <c r="G78" s="4" t="str">
        <f>'Data In'!D84</f>
        <v>a</v>
      </c>
      <c r="H78" s="3" t="e">
        <f t="shared" si="10"/>
        <v>#VALUE!</v>
      </c>
      <c r="I78" s="1" t="e">
        <f t="shared" si="6"/>
        <v>#REF!</v>
      </c>
      <c r="J78" s="1" t="e">
        <f>IF(Table15[[#This Row],[Rising Through Threshold]],Table15[[#This Row],[Start time]],J77)</f>
        <v>#REF!</v>
      </c>
      <c r="K78" s="1" t="e">
        <f>IF(AND(Table15[[#This Row],[Rising Through Threshold]],J77&gt;0),J78-J77,"")</f>
        <v>#REF!</v>
      </c>
    </row>
    <row r="79" spans="1:11" x14ac:dyDescent="0.45">
      <c r="A79" s="1" t="s">
        <v>97</v>
      </c>
      <c r="B79" s="1">
        <f t="shared" si="9"/>
        <v>6</v>
      </c>
      <c r="C79" s="1">
        <f t="shared" si="8"/>
        <v>11</v>
      </c>
      <c r="D79" s="1">
        <f t="shared" si="8"/>
        <v>16</v>
      </c>
      <c r="E79" s="1" t="e">
        <f t="shared" si="8"/>
        <v>#VALUE!</v>
      </c>
      <c r="F79" s="3">
        <f>'Data In'!C85</f>
        <v>3.71</v>
      </c>
      <c r="G79" s="4" t="str">
        <f>'Data In'!D85</f>
        <v>a</v>
      </c>
      <c r="H79" s="3" t="e">
        <f t="shared" si="10"/>
        <v>#VALUE!</v>
      </c>
      <c r="I79" s="1" t="e">
        <f t="shared" si="6"/>
        <v>#REF!</v>
      </c>
      <c r="J79" s="1" t="e">
        <f>IF(Table15[[#This Row],[Rising Through Threshold]],Table15[[#This Row],[Start time]],J78)</f>
        <v>#REF!</v>
      </c>
      <c r="K79" s="1" t="e">
        <f>IF(AND(Table15[[#This Row],[Rising Through Threshold]],J78&gt;0),J79-J78,"")</f>
        <v>#REF!</v>
      </c>
    </row>
    <row r="80" spans="1:11" x14ac:dyDescent="0.45">
      <c r="A80" s="1" t="s">
        <v>98</v>
      </c>
      <c r="B80" s="1">
        <f t="shared" si="9"/>
        <v>6</v>
      </c>
      <c r="C80" s="1">
        <f t="shared" si="8"/>
        <v>11</v>
      </c>
      <c r="D80" s="1">
        <f t="shared" si="8"/>
        <v>16</v>
      </c>
      <c r="E80" s="1" t="e">
        <f t="shared" si="8"/>
        <v>#VALUE!</v>
      </c>
      <c r="F80" s="3">
        <f>'Data In'!C86</f>
        <v>3.73</v>
      </c>
      <c r="G80" s="4" t="str">
        <f>'Data In'!D86</f>
        <v>a</v>
      </c>
      <c r="H80" s="3" t="e">
        <f t="shared" si="10"/>
        <v>#VALUE!</v>
      </c>
      <c r="I80" s="1" t="e">
        <f t="shared" si="6"/>
        <v>#REF!</v>
      </c>
      <c r="J80" s="1" t="e">
        <f>IF(Table15[[#This Row],[Rising Through Threshold]],Table15[[#This Row],[Start time]],J79)</f>
        <v>#REF!</v>
      </c>
      <c r="K80" s="1" t="e">
        <f>IF(AND(Table15[[#This Row],[Rising Through Threshold]],J79&gt;0),J80-J79,"")</f>
        <v>#REF!</v>
      </c>
    </row>
    <row r="81" spans="1:11" x14ac:dyDescent="0.45">
      <c r="A81" s="1" t="s">
        <v>99</v>
      </c>
      <c r="B81" s="1">
        <f t="shared" si="9"/>
        <v>6</v>
      </c>
      <c r="C81" s="1">
        <f t="shared" si="8"/>
        <v>11</v>
      </c>
      <c r="D81" s="1">
        <f t="shared" si="8"/>
        <v>16</v>
      </c>
      <c r="E81" s="1" t="e">
        <f t="shared" si="8"/>
        <v>#VALUE!</v>
      </c>
      <c r="F81" s="3">
        <f>'Data In'!C87</f>
        <v>3.69</v>
      </c>
      <c r="G81" s="4" t="str">
        <f>'Data In'!D87</f>
        <v>a</v>
      </c>
      <c r="H81" s="3" t="e">
        <f t="shared" si="10"/>
        <v>#VALUE!</v>
      </c>
      <c r="I81" s="1" t="e">
        <f t="shared" si="6"/>
        <v>#REF!</v>
      </c>
      <c r="J81" s="1" t="e">
        <f>IF(Table15[[#This Row],[Rising Through Threshold]],Table15[[#This Row],[Start time]],J80)</f>
        <v>#REF!</v>
      </c>
      <c r="K81" s="1" t="e">
        <f>IF(AND(Table15[[#This Row],[Rising Through Threshold]],J80&gt;0),J81-J80,"")</f>
        <v>#REF!</v>
      </c>
    </row>
    <row r="82" spans="1:11" x14ac:dyDescent="0.45">
      <c r="A82" s="1" t="s">
        <v>100</v>
      </c>
      <c r="B82" s="1">
        <f t="shared" si="9"/>
        <v>6</v>
      </c>
      <c r="C82" s="1">
        <f t="shared" si="8"/>
        <v>11</v>
      </c>
      <c r="D82" s="1">
        <f t="shared" si="8"/>
        <v>16</v>
      </c>
      <c r="E82" s="1" t="e">
        <f t="shared" si="8"/>
        <v>#VALUE!</v>
      </c>
      <c r="F82" s="3">
        <f>'Data In'!C88</f>
        <v>3.53</v>
      </c>
      <c r="G82" s="4" t="str">
        <f>'Data In'!D88</f>
        <v>a</v>
      </c>
      <c r="H82" s="3" t="e">
        <f t="shared" si="10"/>
        <v>#VALUE!</v>
      </c>
      <c r="I82" s="1" t="e">
        <f t="shared" si="6"/>
        <v>#REF!</v>
      </c>
      <c r="J82" s="1" t="e">
        <f>IF(Table15[[#This Row],[Rising Through Threshold]],Table15[[#This Row],[Start time]],J81)</f>
        <v>#REF!</v>
      </c>
      <c r="K82" s="1" t="e">
        <f>IF(AND(Table15[[#This Row],[Rising Through Threshold]],J81&gt;0),J82-J81,"")</f>
        <v>#REF!</v>
      </c>
    </row>
    <row r="83" spans="1:11" x14ac:dyDescent="0.45">
      <c r="A83" s="1" t="s">
        <v>101</v>
      </c>
      <c r="B83" s="1">
        <f t="shared" si="9"/>
        <v>6</v>
      </c>
      <c r="C83" s="1">
        <f t="shared" si="8"/>
        <v>11</v>
      </c>
      <c r="D83" s="1">
        <f t="shared" si="8"/>
        <v>16</v>
      </c>
      <c r="E83" s="1" t="e">
        <f t="shared" si="8"/>
        <v>#VALUE!</v>
      </c>
      <c r="F83" s="3">
        <f>'Data In'!C89</f>
        <v>3.18</v>
      </c>
      <c r="G83" s="4" t="str">
        <f>'Data In'!D89</f>
        <v>a</v>
      </c>
      <c r="H83" s="3" t="e">
        <f t="shared" si="10"/>
        <v>#VALUE!</v>
      </c>
      <c r="I83" s="1" t="e">
        <f t="shared" si="6"/>
        <v>#REF!</v>
      </c>
      <c r="J83" s="1" t="e">
        <f>IF(Table15[[#This Row],[Rising Through Threshold]],Table15[[#This Row],[Start time]],J82)</f>
        <v>#REF!</v>
      </c>
      <c r="K83" s="1" t="e">
        <f>IF(AND(Table15[[#This Row],[Rising Through Threshold]],J82&gt;0),J83-J82,"")</f>
        <v>#REF!</v>
      </c>
    </row>
    <row r="84" spans="1:11" x14ac:dyDescent="0.45">
      <c r="A84" s="1" t="s">
        <v>102</v>
      </c>
      <c r="B84" s="1">
        <f t="shared" si="9"/>
        <v>6</v>
      </c>
      <c r="C84" s="1">
        <f t="shared" si="8"/>
        <v>11</v>
      </c>
      <c r="D84" s="1">
        <f t="shared" si="8"/>
        <v>16</v>
      </c>
      <c r="E84" s="1" t="e">
        <f t="shared" si="8"/>
        <v>#VALUE!</v>
      </c>
      <c r="F84" s="3">
        <f>'Data In'!C90</f>
        <v>2.65</v>
      </c>
      <c r="G84" s="4" t="str">
        <f>'Data In'!D90</f>
        <v>a</v>
      </c>
      <c r="H84" s="3" t="e">
        <f t="shared" si="10"/>
        <v>#VALUE!</v>
      </c>
      <c r="I84" s="1" t="e">
        <f t="shared" si="6"/>
        <v>#REF!</v>
      </c>
      <c r="J84" s="1" t="e">
        <f>IF(Table15[[#This Row],[Rising Through Threshold]],Table15[[#This Row],[Start time]],J83)</f>
        <v>#REF!</v>
      </c>
      <c r="K84" s="1" t="e">
        <f>IF(AND(Table15[[#This Row],[Rising Through Threshold]],J83&gt;0),J84-J83,"")</f>
        <v>#REF!</v>
      </c>
    </row>
    <row r="85" spans="1:11" x14ac:dyDescent="0.45">
      <c r="A85" s="1" t="s">
        <v>103</v>
      </c>
      <c r="B85" s="1">
        <f t="shared" si="9"/>
        <v>6</v>
      </c>
      <c r="C85" s="1">
        <f t="shared" si="8"/>
        <v>11</v>
      </c>
      <c r="D85" s="1">
        <f t="shared" si="8"/>
        <v>16</v>
      </c>
      <c r="E85" s="1" t="e">
        <f t="shared" si="8"/>
        <v>#VALUE!</v>
      </c>
      <c r="F85" s="3">
        <f>'Data In'!C91</f>
        <v>1.96</v>
      </c>
      <c r="G85" s="4" t="str">
        <f>'Data In'!D91</f>
        <v>a</v>
      </c>
      <c r="H85" s="3" t="e">
        <f t="shared" si="10"/>
        <v>#VALUE!</v>
      </c>
      <c r="I85" s="1" t="e">
        <f t="shared" si="6"/>
        <v>#REF!</v>
      </c>
      <c r="J85" s="1" t="e">
        <f>IF(Table15[[#This Row],[Rising Through Threshold]],Table15[[#This Row],[Start time]],J84)</f>
        <v>#REF!</v>
      </c>
      <c r="K85" s="1" t="e">
        <f>IF(AND(Table15[[#This Row],[Rising Through Threshold]],J84&gt;0),J85-J84,"")</f>
        <v>#REF!</v>
      </c>
    </row>
    <row r="86" spans="1:11" x14ac:dyDescent="0.45">
      <c r="A86" s="1" t="s">
        <v>104</v>
      </c>
      <c r="B86" s="1">
        <f t="shared" si="9"/>
        <v>6</v>
      </c>
      <c r="C86" s="1">
        <f t="shared" si="8"/>
        <v>11</v>
      </c>
      <c r="D86" s="1">
        <f t="shared" si="8"/>
        <v>16</v>
      </c>
      <c r="E86" s="1" t="e">
        <f t="shared" si="8"/>
        <v>#VALUE!</v>
      </c>
      <c r="F86" s="3">
        <f>'Data In'!C92</f>
        <v>1.24</v>
      </c>
      <c r="G86" s="4" t="str">
        <f>'Data In'!D92</f>
        <v>a</v>
      </c>
      <c r="H86" s="3" t="e">
        <f t="shared" si="10"/>
        <v>#VALUE!</v>
      </c>
      <c r="I86" s="1" t="e">
        <f t="shared" si="6"/>
        <v>#REF!</v>
      </c>
      <c r="J86" s="1" t="e">
        <f>IF(Table15[[#This Row],[Rising Through Threshold]],Table15[[#This Row],[Start time]],J85)</f>
        <v>#REF!</v>
      </c>
      <c r="K86" s="1" t="e">
        <f>IF(AND(Table15[[#This Row],[Rising Through Threshold]],J85&gt;0),J86-J85,"")</f>
        <v>#REF!</v>
      </c>
    </row>
    <row r="87" spans="1:11" x14ac:dyDescent="0.45">
      <c r="A87" s="1" t="s">
        <v>105</v>
      </c>
      <c r="B87" s="1">
        <f t="shared" si="9"/>
        <v>6</v>
      </c>
      <c r="C87" s="1">
        <f t="shared" si="8"/>
        <v>11</v>
      </c>
      <c r="D87" s="1">
        <f t="shared" si="8"/>
        <v>16</v>
      </c>
      <c r="E87" s="1" t="e">
        <f t="shared" si="8"/>
        <v>#VALUE!</v>
      </c>
      <c r="F87" s="3">
        <f>'Data In'!C93</f>
        <v>0.56999999999999995</v>
      </c>
      <c r="G87" s="4" t="str">
        <f>'Data In'!D93</f>
        <v>a</v>
      </c>
      <c r="H87" s="3" t="e">
        <f t="shared" si="10"/>
        <v>#VALUE!</v>
      </c>
      <c r="I87" s="1" t="e">
        <f t="shared" si="6"/>
        <v>#REF!</v>
      </c>
      <c r="J87" s="1" t="e">
        <f>IF(Table15[[#This Row],[Rising Through Threshold]],Table15[[#This Row],[Start time]],J86)</f>
        <v>#REF!</v>
      </c>
      <c r="K87" s="1" t="e">
        <f>IF(AND(Table15[[#This Row],[Rising Through Threshold]],J86&gt;0),J87-J86,"")</f>
        <v>#REF!</v>
      </c>
    </row>
    <row r="88" spans="1:11" x14ac:dyDescent="0.45">
      <c r="A88" s="1" t="s">
        <v>106</v>
      </c>
      <c r="B88" s="1">
        <f t="shared" si="9"/>
        <v>6</v>
      </c>
      <c r="C88" s="1">
        <f t="shared" si="8"/>
        <v>11</v>
      </c>
      <c r="D88" s="1">
        <f t="shared" si="8"/>
        <v>16</v>
      </c>
      <c r="E88" s="1" t="e">
        <f t="shared" si="8"/>
        <v>#VALUE!</v>
      </c>
      <c r="F88" s="3">
        <f>'Data In'!C94</f>
        <v>0.43</v>
      </c>
      <c r="G88" s="4" t="str">
        <f>'Data In'!D94</f>
        <v>a</v>
      </c>
      <c r="H88" s="3" t="e">
        <f t="shared" si="10"/>
        <v>#VALUE!</v>
      </c>
      <c r="I88" s="1" t="e">
        <f t="shared" si="6"/>
        <v>#REF!</v>
      </c>
      <c r="J88" s="1" t="e">
        <f>IF(Table15[[#This Row],[Rising Through Threshold]],Table15[[#This Row],[Start time]],J87)</f>
        <v>#REF!</v>
      </c>
      <c r="K88" s="1" t="e">
        <f>IF(AND(Table15[[#This Row],[Rising Through Threshold]],J87&gt;0),J88-J87,"")</f>
        <v>#REF!</v>
      </c>
    </row>
    <row r="89" spans="1:11" x14ac:dyDescent="0.45">
      <c r="A89" s="1" t="s">
        <v>107</v>
      </c>
      <c r="B89" s="1">
        <f t="shared" si="9"/>
        <v>6</v>
      </c>
      <c r="C89" s="1">
        <f t="shared" si="8"/>
        <v>11</v>
      </c>
      <c r="D89" s="1">
        <f t="shared" si="8"/>
        <v>16</v>
      </c>
      <c r="E89" s="1" t="e">
        <f t="shared" si="8"/>
        <v>#VALUE!</v>
      </c>
      <c r="F89" s="3">
        <f>'Data In'!C95</f>
        <v>0.45</v>
      </c>
      <c r="G89" s="4" t="str">
        <f>'Data In'!D95</f>
        <v>a</v>
      </c>
      <c r="H89" s="3" t="e">
        <f t="shared" si="10"/>
        <v>#VALUE!</v>
      </c>
      <c r="I89" s="1" t="e">
        <f t="shared" si="6"/>
        <v>#REF!</v>
      </c>
      <c r="J89" s="1" t="e">
        <f>IF(Table15[[#This Row],[Rising Through Threshold]],Table15[[#This Row],[Start time]],J88)</f>
        <v>#REF!</v>
      </c>
      <c r="K89" s="1" t="e">
        <f>IF(AND(Table15[[#This Row],[Rising Through Threshold]],J88&gt;0),J89-J88,"")</f>
        <v>#REF!</v>
      </c>
    </row>
    <row r="90" spans="1:11" x14ac:dyDescent="0.45">
      <c r="A90" s="1" t="s">
        <v>108</v>
      </c>
      <c r="B90" s="1">
        <f t="shared" si="9"/>
        <v>6</v>
      </c>
      <c r="C90" s="1">
        <f t="shared" si="8"/>
        <v>11</v>
      </c>
      <c r="D90" s="1">
        <f t="shared" si="8"/>
        <v>16</v>
      </c>
      <c r="E90" s="1" t="e">
        <f t="shared" si="8"/>
        <v>#VALUE!</v>
      </c>
      <c r="F90" s="3">
        <f>'Data In'!C96</f>
        <v>0.51</v>
      </c>
      <c r="G90" s="4" t="str">
        <f>'Data In'!D96</f>
        <v>a</v>
      </c>
      <c r="H90" s="3" t="e">
        <f t="shared" si="10"/>
        <v>#VALUE!</v>
      </c>
      <c r="I90" s="1" t="e">
        <f t="shared" si="6"/>
        <v>#REF!</v>
      </c>
      <c r="J90" s="1" t="e">
        <f>IF(Table15[[#This Row],[Rising Through Threshold]],Table15[[#This Row],[Start time]],J89)</f>
        <v>#REF!</v>
      </c>
      <c r="K90" s="1" t="e">
        <f>IF(AND(Table15[[#This Row],[Rising Through Threshold]],J89&gt;0),J90-J89,"")</f>
        <v>#REF!</v>
      </c>
    </row>
    <row r="91" spans="1:11" x14ac:dyDescent="0.45">
      <c r="A91" s="1" t="s">
        <v>109</v>
      </c>
      <c r="B91" s="1">
        <f t="shared" si="9"/>
        <v>6</v>
      </c>
      <c r="C91" s="1">
        <f t="shared" si="8"/>
        <v>12</v>
      </c>
      <c r="D91" s="1">
        <f t="shared" si="8"/>
        <v>17</v>
      </c>
      <c r="E91" s="1" t="e">
        <f t="shared" si="8"/>
        <v>#VALUE!</v>
      </c>
      <c r="F91" s="3">
        <f>'Data In'!C97</f>
        <v>0.63</v>
      </c>
      <c r="G91" s="4" t="str">
        <f>'Data In'!D97</f>
        <v>a</v>
      </c>
      <c r="H91" s="3" t="e">
        <f t="shared" si="10"/>
        <v>#VALUE!</v>
      </c>
      <c r="I91" s="1" t="e">
        <f t="shared" si="6"/>
        <v>#REF!</v>
      </c>
      <c r="J91" s="1" t="e">
        <f>IF(Table15[[#This Row],[Rising Through Threshold]],Table15[[#This Row],[Start time]],J90)</f>
        <v>#REF!</v>
      </c>
      <c r="K91" s="1" t="e">
        <f>IF(AND(Table15[[#This Row],[Rising Through Threshold]],J90&gt;0),J91-J90,"")</f>
        <v>#REF!</v>
      </c>
    </row>
    <row r="92" spans="1:11" x14ac:dyDescent="0.45">
      <c r="A92" s="1" t="s">
        <v>110</v>
      </c>
      <c r="B92" s="1">
        <f t="shared" si="9"/>
        <v>6</v>
      </c>
      <c r="C92" s="1">
        <f t="shared" si="8"/>
        <v>12</v>
      </c>
      <c r="D92" s="1">
        <f t="shared" si="8"/>
        <v>17</v>
      </c>
      <c r="E92" s="1" t="e">
        <f t="shared" si="8"/>
        <v>#VALUE!</v>
      </c>
      <c r="F92" s="3">
        <f>'Data In'!C98</f>
        <v>0.82</v>
      </c>
      <c r="G92" s="4" t="str">
        <f>'Data In'!D98</f>
        <v>a</v>
      </c>
      <c r="H92" s="3" t="e">
        <f t="shared" si="10"/>
        <v>#VALUE!</v>
      </c>
      <c r="I92" s="1" t="e">
        <f t="shared" si="6"/>
        <v>#REF!</v>
      </c>
      <c r="J92" s="1" t="e">
        <f>IF(Table15[[#This Row],[Rising Through Threshold]],Table15[[#This Row],[Start time]],J91)</f>
        <v>#REF!</v>
      </c>
      <c r="K92" s="1" t="e">
        <f>IF(AND(Table15[[#This Row],[Rising Through Threshold]],J91&gt;0),J92-J91,"")</f>
        <v>#REF!</v>
      </c>
    </row>
    <row r="93" spans="1:11" x14ac:dyDescent="0.45">
      <c r="A93" s="1" t="s">
        <v>111</v>
      </c>
      <c r="B93" s="1">
        <f t="shared" si="9"/>
        <v>6</v>
      </c>
      <c r="C93" s="1">
        <f t="shared" si="8"/>
        <v>12</v>
      </c>
      <c r="D93" s="1">
        <f t="shared" si="8"/>
        <v>17</v>
      </c>
      <c r="E93" s="1" t="e">
        <f t="shared" si="8"/>
        <v>#VALUE!</v>
      </c>
      <c r="F93" s="3">
        <f>'Data In'!C99</f>
        <v>1.06</v>
      </c>
      <c r="G93" s="4" t="str">
        <f>'Data In'!D99</f>
        <v>a</v>
      </c>
      <c r="H93" s="3" t="e">
        <f t="shared" si="10"/>
        <v>#VALUE!</v>
      </c>
      <c r="I93" s="1" t="e">
        <f t="shared" si="6"/>
        <v>#REF!</v>
      </c>
      <c r="J93" s="1" t="e">
        <f>IF(Table15[[#This Row],[Rising Through Threshold]],Table15[[#This Row],[Start time]],J92)</f>
        <v>#REF!</v>
      </c>
      <c r="K93" s="1" t="e">
        <f>IF(AND(Table15[[#This Row],[Rising Through Threshold]],J92&gt;0),J93-J92,"")</f>
        <v>#REF!</v>
      </c>
    </row>
    <row r="94" spans="1:11" x14ac:dyDescent="0.45">
      <c r="A94" s="1" t="s">
        <v>112</v>
      </c>
      <c r="B94" s="1">
        <f t="shared" si="9"/>
        <v>6</v>
      </c>
      <c r="C94" s="1">
        <f t="shared" si="8"/>
        <v>12</v>
      </c>
      <c r="D94" s="1">
        <f t="shared" si="8"/>
        <v>17</v>
      </c>
      <c r="E94" s="1" t="e">
        <f t="shared" si="8"/>
        <v>#VALUE!</v>
      </c>
      <c r="F94" s="3">
        <f>'Data In'!C100</f>
        <v>1.31</v>
      </c>
      <c r="G94" s="4" t="str">
        <f>'Data In'!D100</f>
        <v>a</v>
      </c>
      <c r="H94" s="3" t="e">
        <f t="shared" si="10"/>
        <v>#VALUE!</v>
      </c>
      <c r="I94" s="1" t="e">
        <f t="shared" si="6"/>
        <v>#REF!</v>
      </c>
      <c r="J94" s="1" t="e">
        <f>IF(Table15[[#This Row],[Rising Through Threshold]],Table15[[#This Row],[Start time]],J93)</f>
        <v>#REF!</v>
      </c>
      <c r="K94" s="1" t="e">
        <f>IF(AND(Table15[[#This Row],[Rising Through Threshold]],J93&gt;0),J94-J93,"")</f>
        <v>#REF!</v>
      </c>
    </row>
    <row r="95" spans="1:11" x14ac:dyDescent="0.45">
      <c r="A95" s="1" t="s">
        <v>113</v>
      </c>
      <c r="B95" s="1">
        <f t="shared" si="9"/>
        <v>6</v>
      </c>
      <c r="C95" s="1">
        <f t="shared" si="8"/>
        <v>12</v>
      </c>
      <c r="D95" s="1">
        <f t="shared" si="8"/>
        <v>17</v>
      </c>
      <c r="E95" s="1" t="e">
        <f t="shared" si="8"/>
        <v>#VALUE!</v>
      </c>
      <c r="F95" s="3">
        <f>'Data In'!C101</f>
        <v>1.59</v>
      </c>
      <c r="G95" s="4" t="str">
        <f>'Data In'!D101</f>
        <v>a</v>
      </c>
      <c r="H95" s="3" t="e">
        <f t="shared" si="10"/>
        <v>#VALUE!</v>
      </c>
      <c r="I95" s="1" t="e">
        <f t="shared" si="6"/>
        <v>#REF!</v>
      </c>
      <c r="J95" s="1" t="e">
        <f>IF(Table15[[#This Row],[Rising Through Threshold]],Table15[[#This Row],[Start time]],J94)</f>
        <v>#REF!</v>
      </c>
      <c r="K95" s="1" t="e">
        <f>IF(AND(Table15[[#This Row],[Rising Through Threshold]],J94&gt;0),J95-J94,"")</f>
        <v>#REF!</v>
      </c>
    </row>
    <row r="96" spans="1:11" x14ac:dyDescent="0.45">
      <c r="A96" s="1" t="s">
        <v>114</v>
      </c>
      <c r="B96" s="1">
        <f t="shared" si="9"/>
        <v>6</v>
      </c>
      <c r="C96" s="1">
        <f t="shared" si="8"/>
        <v>12</v>
      </c>
      <c r="D96" s="1">
        <f t="shared" si="8"/>
        <v>17</v>
      </c>
      <c r="E96" s="1" t="e">
        <f t="shared" si="8"/>
        <v>#VALUE!</v>
      </c>
      <c r="F96" s="3">
        <f>'Data In'!C102</f>
        <v>1.84</v>
      </c>
      <c r="G96" s="4" t="str">
        <f>'Data In'!D102</f>
        <v>a</v>
      </c>
      <c r="H96" s="3" t="e">
        <f t="shared" si="10"/>
        <v>#VALUE!</v>
      </c>
      <c r="I96" s="1" t="e">
        <f t="shared" si="6"/>
        <v>#REF!</v>
      </c>
      <c r="J96" s="1" t="e">
        <f>IF(Table15[[#This Row],[Rising Through Threshold]],Table15[[#This Row],[Start time]],J95)</f>
        <v>#REF!</v>
      </c>
      <c r="K96" s="1" t="e">
        <f>IF(AND(Table15[[#This Row],[Rising Through Threshold]],J95&gt;0),J96-J95,"")</f>
        <v>#REF!</v>
      </c>
    </row>
    <row r="97" spans="1:11" x14ac:dyDescent="0.45">
      <c r="A97" s="1" t="s">
        <v>115</v>
      </c>
      <c r="B97" s="1">
        <f t="shared" si="9"/>
        <v>6</v>
      </c>
      <c r="C97" s="1">
        <f t="shared" si="8"/>
        <v>12</v>
      </c>
      <c r="D97" s="1">
        <f t="shared" si="8"/>
        <v>17</v>
      </c>
      <c r="E97" s="1" t="e">
        <f t="shared" si="8"/>
        <v>#VALUE!</v>
      </c>
      <c r="F97" s="3">
        <f>'Data In'!C103</f>
        <v>2.1</v>
      </c>
      <c r="G97" s="4" t="str">
        <f>'Data In'!D103</f>
        <v>a</v>
      </c>
      <c r="H97" s="3" t="e">
        <f t="shared" si="10"/>
        <v>#VALUE!</v>
      </c>
      <c r="I97" s="1" t="e">
        <f t="shared" si="6"/>
        <v>#REF!</v>
      </c>
      <c r="J97" s="1" t="e">
        <f>IF(Table15[[#This Row],[Rising Through Threshold]],Table15[[#This Row],[Start time]],J96)</f>
        <v>#REF!</v>
      </c>
      <c r="K97" s="1" t="e">
        <f>IF(AND(Table15[[#This Row],[Rising Through Threshold]],J96&gt;0),J97-J96,"")</f>
        <v>#REF!</v>
      </c>
    </row>
    <row r="98" spans="1:11" x14ac:dyDescent="0.45">
      <c r="A98" s="1" t="s">
        <v>116</v>
      </c>
      <c r="B98" s="1">
        <f t="shared" si="9"/>
        <v>6</v>
      </c>
      <c r="C98" s="1">
        <f t="shared" si="8"/>
        <v>12</v>
      </c>
      <c r="D98" s="1">
        <f t="shared" si="8"/>
        <v>17</v>
      </c>
      <c r="E98" s="1" t="e">
        <f t="shared" si="8"/>
        <v>#VALUE!</v>
      </c>
      <c r="F98" s="3">
        <f>'Data In'!C104</f>
        <v>2.33</v>
      </c>
      <c r="G98" s="4" t="str">
        <f>'Data In'!D104</f>
        <v>a</v>
      </c>
      <c r="H98" s="3" t="e">
        <f t="shared" si="10"/>
        <v>#VALUE!</v>
      </c>
      <c r="I98" s="1" t="e">
        <f t="shared" si="6"/>
        <v>#REF!</v>
      </c>
      <c r="J98" s="1" t="e">
        <f>IF(Table15[[#This Row],[Rising Through Threshold]],Table15[[#This Row],[Start time]],J97)</f>
        <v>#REF!</v>
      </c>
      <c r="K98" s="1" t="e">
        <f>IF(AND(Table15[[#This Row],[Rising Through Threshold]],J97&gt;0),J98-J97,"")</f>
        <v>#REF!</v>
      </c>
    </row>
    <row r="99" spans="1:11" x14ac:dyDescent="0.45">
      <c r="A99" s="1" t="s">
        <v>117</v>
      </c>
      <c r="B99" s="1">
        <f t="shared" si="9"/>
        <v>6</v>
      </c>
      <c r="C99" s="1">
        <f t="shared" si="8"/>
        <v>12</v>
      </c>
      <c r="D99" s="1">
        <f t="shared" si="8"/>
        <v>17</v>
      </c>
      <c r="E99" s="1" t="e">
        <f t="shared" si="8"/>
        <v>#VALUE!</v>
      </c>
      <c r="F99" s="3">
        <f>'Data In'!C105</f>
        <v>2.5299999999999998</v>
      </c>
      <c r="G99" s="4" t="str">
        <f>'Data In'!D105</f>
        <v>a</v>
      </c>
      <c r="H99" s="3" t="e">
        <f t="shared" si="10"/>
        <v>#VALUE!</v>
      </c>
      <c r="I99" s="1" t="e">
        <f t="shared" si="6"/>
        <v>#REF!</v>
      </c>
      <c r="J99" s="1" t="e">
        <f>IF(Table15[[#This Row],[Rising Through Threshold]],Table15[[#This Row],[Start time]],J98)</f>
        <v>#REF!</v>
      </c>
      <c r="K99" s="1" t="e">
        <f>IF(AND(Table15[[#This Row],[Rising Through Threshold]],J98&gt;0),J99-J98,"")</f>
        <v>#REF!</v>
      </c>
    </row>
    <row r="100" spans="1:11" x14ac:dyDescent="0.45">
      <c r="A100" s="1" t="s">
        <v>118</v>
      </c>
      <c r="B100" s="1">
        <f t="shared" si="9"/>
        <v>6</v>
      </c>
      <c r="C100" s="1">
        <f t="shared" si="8"/>
        <v>12</v>
      </c>
      <c r="D100" s="1">
        <f t="shared" si="8"/>
        <v>17</v>
      </c>
      <c r="E100" s="1" t="e">
        <f t="shared" si="8"/>
        <v>#VALUE!</v>
      </c>
      <c r="F100" s="3">
        <f>'Data In'!C106</f>
        <v>2.73</v>
      </c>
      <c r="G100" s="4" t="str">
        <f>'Data In'!D106</f>
        <v>a</v>
      </c>
      <c r="H100" s="3" t="e">
        <f t="shared" si="10"/>
        <v>#VALUE!</v>
      </c>
      <c r="I100" s="1" t="e">
        <f t="shared" si="6"/>
        <v>#REF!</v>
      </c>
      <c r="J100" s="1" t="e">
        <f>IF(Table15[[#This Row],[Rising Through Threshold]],Table15[[#This Row],[Start time]],J99)</f>
        <v>#REF!</v>
      </c>
      <c r="K100" s="1" t="e">
        <f>IF(AND(Table15[[#This Row],[Rising Through Threshold]],J99&gt;0),J100-J99,"")</f>
        <v>#REF!</v>
      </c>
    </row>
    <row r="101" spans="1:11" x14ac:dyDescent="0.45">
      <c r="A101" s="1" t="s">
        <v>119</v>
      </c>
      <c r="B101" s="1">
        <f t="shared" si="9"/>
        <v>6</v>
      </c>
      <c r="C101" s="1">
        <f t="shared" si="8"/>
        <v>12</v>
      </c>
      <c r="D101" s="1">
        <f t="shared" si="8"/>
        <v>17</v>
      </c>
      <c r="E101" s="1" t="e">
        <f t="shared" si="8"/>
        <v>#VALUE!</v>
      </c>
      <c r="F101" s="3">
        <f>'Data In'!C107</f>
        <v>2.9</v>
      </c>
      <c r="G101" s="4" t="str">
        <f>'Data In'!D107</f>
        <v>a</v>
      </c>
      <c r="H101" s="3" t="e">
        <f t="shared" si="10"/>
        <v>#VALUE!</v>
      </c>
      <c r="I101" s="1" t="e">
        <f t="shared" si="6"/>
        <v>#REF!</v>
      </c>
      <c r="J101" s="1" t="e">
        <f>IF(Table15[[#This Row],[Rising Through Threshold]],Table15[[#This Row],[Start time]],J100)</f>
        <v>#REF!</v>
      </c>
      <c r="K101" s="1" t="e">
        <f>IF(AND(Table15[[#This Row],[Rising Through Threshold]],J100&gt;0),J101-J100,"")</f>
        <v>#REF!</v>
      </c>
    </row>
    <row r="102" spans="1:11" x14ac:dyDescent="0.45">
      <c r="A102" s="1" t="s">
        <v>120</v>
      </c>
      <c r="B102" s="1">
        <f t="shared" si="9"/>
        <v>6</v>
      </c>
      <c r="C102" s="1">
        <f t="shared" si="8"/>
        <v>12</v>
      </c>
      <c r="D102" s="1">
        <f t="shared" si="8"/>
        <v>17</v>
      </c>
      <c r="E102" s="1" t="e">
        <f t="shared" si="8"/>
        <v>#VALUE!</v>
      </c>
      <c r="F102" s="3">
        <f>'Data In'!C108</f>
        <v>3.06</v>
      </c>
      <c r="G102" s="4" t="str">
        <f>'Data In'!D108</f>
        <v>a</v>
      </c>
      <c r="H102" s="3" t="e">
        <f t="shared" si="10"/>
        <v>#VALUE!</v>
      </c>
      <c r="I102" s="1" t="e">
        <f t="shared" si="6"/>
        <v>#REF!</v>
      </c>
      <c r="J102" s="1" t="e">
        <f>IF(Table15[[#This Row],[Rising Through Threshold]],Table15[[#This Row],[Start time]],J101)</f>
        <v>#REF!</v>
      </c>
      <c r="K102" s="1" t="e">
        <f>IF(AND(Table15[[#This Row],[Rising Through Threshold]],J101&gt;0),J102-J101,"")</f>
        <v>#REF!</v>
      </c>
    </row>
    <row r="103" spans="1:11" x14ac:dyDescent="0.45">
      <c r="A103" s="1" t="s">
        <v>121</v>
      </c>
      <c r="B103" s="1">
        <f t="shared" si="9"/>
        <v>6</v>
      </c>
      <c r="C103" s="1">
        <f t="shared" si="8"/>
        <v>12</v>
      </c>
      <c r="D103" s="1">
        <f t="shared" si="8"/>
        <v>17</v>
      </c>
      <c r="E103" s="1" t="e">
        <f t="shared" si="8"/>
        <v>#VALUE!</v>
      </c>
      <c r="F103" s="3">
        <f>'Data In'!C109</f>
        <v>3.2</v>
      </c>
      <c r="G103" s="4" t="str">
        <f>'Data In'!D109</f>
        <v>a</v>
      </c>
      <c r="H103" s="3" t="e">
        <f t="shared" si="10"/>
        <v>#VALUE!</v>
      </c>
      <c r="I103" s="1" t="e">
        <f t="shared" si="6"/>
        <v>#REF!</v>
      </c>
      <c r="J103" s="1" t="e">
        <f>IF(Table15[[#This Row],[Rising Through Threshold]],Table15[[#This Row],[Start time]],J102)</f>
        <v>#REF!</v>
      </c>
      <c r="K103" s="1" t="e">
        <f>IF(AND(Table15[[#This Row],[Rising Through Threshold]],J102&gt;0),J103-J102,"")</f>
        <v>#REF!</v>
      </c>
    </row>
    <row r="104" spans="1:11" x14ac:dyDescent="0.45">
      <c r="A104" s="1" t="s">
        <v>122</v>
      </c>
      <c r="B104" s="1">
        <f t="shared" si="9"/>
        <v>6</v>
      </c>
      <c r="C104" s="1">
        <f t="shared" si="8"/>
        <v>12</v>
      </c>
      <c r="D104" s="1">
        <f t="shared" si="8"/>
        <v>17</v>
      </c>
      <c r="E104" s="1" t="e">
        <f t="shared" si="8"/>
        <v>#VALUE!</v>
      </c>
      <c r="F104" s="3">
        <f>'Data In'!C110</f>
        <v>3.31</v>
      </c>
      <c r="G104" s="4" t="str">
        <f>'Data In'!D110</f>
        <v>a</v>
      </c>
      <c r="H104" s="3" t="e">
        <f t="shared" si="10"/>
        <v>#VALUE!</v>
      </c>
      <c r="I104" s="1" t="e">
        <f t="shared" si="6"/>
        <v>#REF!</v>
      </c>
      <c r="J104" s="1" t="e">
        <f>IF(Table15[[#This Row],[Rising Through Threshold]],Table15[[#This Row],[Start time]],J103)</f>
        <v>#REF!</v>
      </c>
      <c r="K104" s="1" t="e">
        <f>IF(AND(Table15[[#This Row],[Rising Through Threshold]],J103&gt;0),J104-J103,"")</f>
        <v>#REF!</v>
      </c>
    </row>
    <row r="105" spans="1:11" x14ac:dyDescent="0.45">
      <c r="A105" s="1" t="s">
        <v>123</v>
      </c>
      <c r="B105" s="1">
        <f t="shared" si="9"/>
        <v>6</v>
      </c>
      <c r="C105" s="1">
        <f t="shared" si="8"/>
        <v>12</v>
      </c>
      <c r="D105" s="1">
        <f t="shared" si="8"/>
        <v>17</v>
      </c>
      <c r="E105" s="1" t="e">
        <f t="shared" si="8"/>
        <v>#VALUE!</v>
      </c>
      <c r="F105" s="3">
        <f>'Data In'!C111</f>
        <v>3.43</v>
      </c>
      <c r="G105" s="4" t="str">
        <f>'Data In'!D111</f>
        <v>a</v>
      </c>
      <c r="H105" s="3" t="e">
        <f t="shared" si="10"/>
        <v>#VALUE!</v>
      </c>
      <c r="I105" s="1" t="e">
        <f t="shared" si="6"/>
        <v>#REF!</v>
      </c>
      <c r="J105" s="1" t="e">
        <f>IF(Table15[[#This Row],[Rising Through Threshold]],Table15[[#This Row],[Start time]],J104)</f>
        <v>#REF!</v>
      </c>
      <c r="K105" s="1" t="e">
        <f>IF(AND(Table15[[#This Row],[Rising Through Threshold]],J104&gt;0),J105-J104,"")</f>
        <v>#REF!</v>
      </c>
    </row>
    <row r="106" spans="1:11" x14ac:dyDescent="0.45">
      <c r="A106" s="1" t="s">
        <v>124</v>
      </c>
      <c r="B106" s="1">
        <f t="shared" si="9"/>
        <v>6</v>
      </c>
      <c r="C106" s="1">
        <f t="shared" si="8"/>
        <v>12</v>
      </c>
      <c r="D106" s="1">
        <f t="shared" si="8"/>
        <v>17</v>
      </c>
      <c r="E106" s="1" t="e">
        <f t="shared" si="8"/>
        <v>#VALUE!</v>
      </c>
      <c r="F106" s="3">
        <f>'Data In'!C112</f>
        <v>3.55</v>
      </c>
      <c r="G106" s="4" t="str">
        <f>'Data In'!D112</f>
        <v>a</v>
      </c>
      <c r="H106" s="3" t="e">
        <f t="shared" si="10"/>
        <v>#VALUE!</v>
      </c>
      <c r="I106" s="1" t="e">
        <f t="shared" si="6"/>
        <v>#REF!</v>
      </c>
      <c r="J106" s="1" t="e">
        <f>IF(Table15[[#This Row],[Rising Through Threshold]],Table15[[#This Row],[Start time]],J105)</f>
        <v>#REF!</v>
      </c>
      <c r="K106" s="1" t="e">
        <f>IF(AND(Table15[[#This Row],[Rising Through Threshold]],J105&gt;0),J106-J105,"")</f>
        <v>#REF!</v>
      </c>
    </row>
    <row r="107" spans="1:11" x14ac:dyDescent="0.45">
      <c r="A107" s="1" t="s">
        <v>125</v>
      </c>
      <c r="B107" s="1">
        <f t="shared" si="9"/>
        <v>6</v>
      </c>
      <c r="C107" s="1">
        <f t="shared" si="8"/>
        <v>12</v>
      </c>
      <c r="D107" s="1">
        <f t="shared" si="8"/>
        <v>17</v>
      </c>
      <c r="E107" s="1" t="e">
        <f t="shared" si="8"/>
        <v>#VALUE!</v>
      </c>
      <c r="F107" s="3">
        <f>'Data In'!C113</f>
        <v>3.63</v>
      </c>
      <c r="G107" s="4" t="str">
        <f>'Data In'!D113</f>
        <v>a</v>
      </c>
      <c r="H107" s="3" t="e">
        <f t="shared" si="10"/>
        <v>#VALUE!</v>
      </c>
      <c r="I107" s="1" t="e">
        <f t="shared" si="6"/>
        <v>#REF!</v>
      </c>
      <c r="J107" s="1" t="e">
        <f>IF(Table15[[#This Row],[Rising Through Threshold]],Table15[[#This Row],[Start time]],J106)</f>
        <v>#REF!</v>
      </c>
      <c r="K107" s="1" t="e">
        <f>IF(AND(Table15[[#This Row],[Rising Through Threshold]],J106&gt;0),J107-J106,"")</f>
        <v>#REF!</v>
      </c>
    </row>
    <row r="108" spans="1:11" x14ac:dyDescent="0.45">
      <c r="A108" s="1" t="s">
        <v>126</v>
      </c>
      <c r="B108" s="1">
        <f t="shared" si="9"/>
        <v>6</v>
      </c>
      <c r="C108" s="1">
        <f t="shared" si="8"/>
        <v>12</v>
      </c>
      <c r="D108" s="1">
        <f t="shared" si="8"/>
        <v>17</v>
      </c>
      <c r="E108" s="1" t="e">
        <f t="shared" si="8"/>
        <v>#VALUE!</v>
      </c>
      <c r="F108" s="3">
        <f>'Data In'!C114</f>
        <v>3.69</v>
      </c>
      <c r="G108" s="4" t="str">
        <f>'Data In'!D114</f>
        <v>a</v>
      </c>
      <c r="H108" s="3" t="e">
        <f t="shared" si="10"/>
        <v>#VALUE!</v>
      </c>
      <c r="I108" s="1" t="e">
        <f t="shared" si="6"/>
        <v>#REF!</v>
      </c>
      <c r="J108" s="1" t="e">
        <f>IF(Table15[[#This Row],[Rising Through Threshold]],Table15[[#This Row],[Start time]],J107)</f>
        <v>#REF!</v>
      </c>
      <c r="K108" s="1" t="e">
        <f>IF(AND(Table15[[#This Row],[Rising Through Threshold]],J107&gt;0),J108-J107,"")</f>
        <v>#REF!</v>
      </c>
    </row>
    <row r="109" spans="1:11" x14ac:dyDescent="0.45">
      <c r="A109" s="1" t="s">
        <v>127</v>
      </c>
      <c r="B109" s="1">
        <f t="shared" si="9"/>
        <v>6</v>
      </c>
      <c r="C109" s="1">
        <f t="shared" si="8"/>
        <v>12</v>
      </c>
      <c r="D109" s="1">
        <f t="shared" si="8"/>
        <v>17</v>
      </c>
      <c r="E109" s="1" t="e">
        <f t="shared" si="8"/>
        <v>#VALUE!</v>
      </c>
      <c r="F109" s="3">
        <f>'Data In'!C115</f>
        <v>3.73</v>
      </c>
      <c r="G109" s="4" t="str">
        <f>'Data In'!D115</f>
        <v>a</v>
      </c>
      <c r="H109" s="3" t="e">
        <f t="shared" si="10"/>
        <v>#VALUE!</v>
      </c>
      <c r="I109" s="1" t="e">
        <f t="shared" ref="I109:I172" si="11">AND(G108&lt;Threshold,G109&gt;Threshold)</f>
        <v>#REF!</v>
      </c>
      <c r="J109" s="1" t="e">
        <f>IF(Table15[[#This Row],[Rising Through Threshold]],Table15[[#This Row],[Start time]],J108)</f>
        <v>#REF!</v>
      </c>
      <c r="K109" s="1" t="e">
        <f>IF(AND(Table15[[#This Row],[Rising Through Threshold]],J108&gt;0),J109-J108,"")</f>
        <v>#REF!</v>
      </c>
    </row>
    <row r="110" spans="1:11" x14ac:dyDescent="0.45">
      <c r="A110" s="1" t="s">
        <v>128</v>
      </c>
      <c r="B110" s="1">
        <f t="shared" si="9"/>
        <v>6</v>
      </c>
      <c r="C110" s="1">
        <f t="shared" si="8"/>
        <v>12</v>
      </c>
      <c r="D110" s="1">
        <f t="shared" si="8"/>
        <v>17</v>
      </c>
      <c r="E110" s="1" t="e">
        <f t="shared" si="8"/>
        <v>#VALUE!</v>
      </c>
      <c r="F110" s="3">
        <f>'Data In'!C116</f>
        <v>3.73</v>
      </c>
      <c r="G110" s="4" t="str">
        <f>'Data In'!D116</f>
        <v>a</v>
      </c>
      <c r="H110" s="3" t="e">
        <f t="shared" si="10"/>
        <v>#VALUE!</v>
      </c>
      <c r="I110" s="1" t="e">
        <f t="shared" si="11"/>
        <v>#REF!</v>
      </c>
      <c r="J110" s="1" t="e">
        <f>IF(Table15[[#This Row],[Rising Through Threshold]],Table15[[#This Row],[Start time]],J109)</f>
        <v>#REF!</v>
      </c>
      <c r="K110" s="1" t="e">
        <f>IF(AND(Table15[[#This Row],[Rising Through Threshold]],J109&gt;0),J110-J109,"")</f>
        <v>#REF!</v>
      </c>
    </row>
    <row r="111" spans="1:11" x14ac:dyDescent="0.45">
      <c r="A111" s="1" t="s">
        <v>129</v>
      </c>
      <c r="B111" s="1">
        <f t="shared" si="9"/>
        <v>6</v>
      </c>
      <c r="C111" s="1">
        <f t="shared" si="8"/>
        <v>12</v>
      </c>
      <c r="D111" s="1">
        <f t="shared" si="8"/>
        <v>17</v>
      </c>
      <c r="E111" s="1" t="e">
        <f t="shared" si="8"/>
        <v>#VALUE!</v>
      </c>
      <c r="F111" s="3">
        <f>'Data In'!C117</f>
        <v>3.61</v>
      </c>
      <c r="G111" s="4" t="str">
        <f>'Data In'!D117</f>
        <v>a</v>
      </c>
      <c r="H111" s="3" t="e">
        <f t="shared" si="10"/>
        <v>#VALUE!</v>
      </c>
      <c r="I111" s="1" t="e">
        <f t="shared" si="11"/>
        <v>#REF!</v>
      </c>
      <c r="J111" s="1" t="e">
        <f>IF(Table15[[#This Row],[Rising Through Threshold]],Table15[[#This Row],[Start time]],J110)</f>
        <v>#REF!</v>
      </c>
      <c r="K111" s="1" t="e">
        <f>IF(AND(Table15[[#This Row],[Rising Through Threshold]],J110&gt;0),J111-J110,"")</f>
        <v>#REF!</v>
      </c>
    </row>
    <row r="112" spans="1:11" x14ac:dyDescent="0.45">
      <c r="A112" s="1" t="s">
        <v>130</v>
      </c>
      <c r="B112" s="1">
        <f t="shared" si="9"/>
        <v>6</v>
      </c>
      <c r="C112" s="1">
        <f t="shared" si="8"/>
        <v>12</v>
      </c>
      <c r="D112" s="1">
        <f t="shared" si="8"/>
        <v>17</v>
      </c>
      <c r="E112" s="1" t="e">
        <f t="shared" si="8"/>
        <v>#VALUE!</v>
      </c>
      <c r="F112" s="3">
        <f>'Data In'!C118</f>
        <v>3.35</v>
      </c>
      <c r="G112" s="4" t="str">
        <f>'Data In'!D118</f>
        <v>a</v>
      </c>
      <c r="H112" s="3" t="e">
        <f t="shared" si="10"/>
        <v>#VALUE!</v>
      </c>
      <c r="I112" s="1" t="e">
        <f t="shared" si="11"/>
        <v>#REF!</v>
      </c>
      <c r="J112" s="1" t="e">
        <f>IF(Table15[[#This Row],[Rising Through Threshold]],Table15[[#This Row],[Start time]],J111)</f>
        <v>#REF!</v>
      </c>
      <c r="K112" s="1" t="e">
        <f>IF(AND(Table15[[#This Row],[Rising Through Threshold]],J111&gt;0),J112-J111,"")</f>
        <v>#REF!</v>
      </c>
    </row>
    <row r="113" spans="1:11" x14ac:dyDescent="0.45">
      <c r="A113" s="1" t="s">
        <v>131</v>
      </c>
      <c r="B113" s="1">
        <f t="shared" si="9"/>
        <v>6</v>
      </c>
      <c r="C113" s="1">
        <f t="shared" si="8"/>
        <v>12</v>
      </c>
      <c r="D113" s="1">
        <f t="shared" si="8"/>
        <v>17</v>
      </c>
      <c r="E113" s="1" t="e">
        <f t="shared" si="8"/>
        <v>#VALUE!</v>
      </c>
      <c r="F113" s="3">
        <f>'Data In'!C119</f>
        <v>2.88</v>
      </c>
      <c r="G113" s="4" t="str">
        <f>'Data In'!D119</f>
        <v>a</v>
      </c>
      <c r="H113" s="3" t="e">
        <f t="shared" si="10"/>
        <v>#VALUE!</v>
      </c>
      <c r="I113" s="1" t="e">
        <f t="shared" si="11"/>
        <v>#REF!</v>
      </c>
      <c r="J113" s="1" t="e">
        <f>IF(Table15[[#This Row],[Rising Through Threshold]],Table15[[#This Row],[Start time]],J112)</f>
        <v>#REF!</v>
      </c>
      <c r="K113" s="1" t="e">
        <f>IF(AND(Table15[[#This Row],[Rising Through Threshold]],J112&gt;0),J113-J112,"")</f>
        <v>#REF!</v>
      </c>
    </row>
    <row r="114" spans="1:11" x14ac:dyDescent="0.45">
      <c r="A114" s="1" t="s">
        <v>132</v>
      </c>
      <c r="B114" s="1">
        <f t="shared" si="9"/>
        <v>6</v>
      </c>
      <c r="C114" s="1">
        <f t="shared" si="8"/>
        <v>12</v>
      </c>
      <c r="D114" s="1">
        <f t="shared" si="8"/>
        <v>17</v>
      </c>
      <c r="E114" s="1" t="e">
        <f t="shared" si="8"/>
        <v>#VALUE!</v>
      </c>
      <c r="F114" s="3">
        <f>'Data In'!C120</f>
        <v>2.25</v>
      </c>
      <c r="G114" s="4" t="str">
        <f>'Data In'!D120</f>
        <v>a</v>
      </c>
      <c r="H114" s="3" t="e">
        <f t="shared" si="10"/>
        <v>#VALUE!</v>
      </c>
      <c r="I114" s="1" t="e">
        <f t="shared" si="11"/>
        <v>#REF!</v>
      </c>
      <c r="J114" s="1" t="e">
        <f>IF(Table15[[#This Row],[Rising Through Threshold]],Table15[[#This Row],[Start time]],J113)</f>
        <v>#REF!</v>
      </c>
      <c r="K114" s="1" t="e">
        <f>IF(AND(Table15[[#This Row],[Rising Through Threshold]],J113&gt;0),J114-J113,"")</f>
        <v>#REF!</v>
      </c>
    </row>
    <row r="115" spans="1:11" x14ac:dyDescent="0.45">
      <c r="A115" s="1" t="s">
        <v>133</v>
      </c>
      <c r="B115" s="1">
        <f t="shared" si="9"/>
        <v>6</v>
      </c>
      <c r="C115" s="1">
        <f t="shared" si="8"/>
        <v>12</v>
      </c>
      <c r="D115" s="1">
        <f t="shared" si="8"/>
        <v>17</v>
      </c>
      <c r="E115" s="1" t="e">
        <f t="shared" si="8"/>
        <v>#VALUE!</v>
      </c>
      <c r="F115" s="3">
        <f>'Data In'!C121</f>
        <v>1.53</v>
      </c>
      <c r="G115" s="4" t="str">
        <f>'Data In'!D121</f>
        <v>a</v>
      </c>
      <c r="H115" s="3" t="e">
        <f t="shared" si="10"/>
        <v>#VALUE!</v>
      </c>
      <c r="I115" s="1" t="e">
        <f t="shared" si="11"/>
        <v>#REF!</v>
      </c>
      <c r="J115" s="1" t="e">
        <f>IF(Table15[[#This Row],[Rising Through Threshold]],Table15[[#This Row],[Start time]],J114)</f>
        <v>#REF!</v>
      </c>
      <c r="K115" s="1" t="e">
        <f>IF(AND(Table15[[#This Row],[Rising Through Threshold]],J114&gt;0),J115-J114,"")</f>
        <v>#REF!</v>
      </c>
    </row>
    <row r="116" spans="1:11" x14ac:dyDescent="0.45">
      <c r="A116" s="1" t="s">
        <v>134</v>
      </c>
      <c r="B116" s="1">
        <f t="shared" si="9"/>
        <v>6</v>
      </c>
      <c r="C116" s="1">
        <f t="shared" si="8"/>
        <v>12</v>
      </c>
      <c r="D116" s="1">
        <f t="shared" si="8"/>
        <v>17</v>
      </c>
      <c r="E116" s="1" t="e">
        <f t="shared" si="8"/>
        <v>#VALUE!</v>
      </c>
      <c r="F116" s="3">
        <f>'Data In'!C122</f>
        <v>0.82</v>
      </c>
      <c r="G116" s="4" t="str">
        <f>'Data In'!D122</f>
        <v>a</v>
      </c>
      <c r="H116" s="3" t="e">
        <f t="shared" si="10"/>
        <v>#VALUE!</v>
      </c>
      <c r="I116" s="1" t="e">
        <f t="shared" si="11"/>
        <v>#REF!</v>
      </c>
      <c r="J116" s="1" t="e">
        <f>IF(Table15[[#This Row],[Rising Through Threshold]],Table15[[#This Row],[Start time]],J115)</f>
        <v>#REF!</v>
      </c>
      <c r="K116" s="1" t="e">
        <f>IF(AND(Table15[[#This Row],[Rising Through Threshold]],J115&gt;0),J116-J115,"")</f>
        <v>#REF!</v>
      </c>
    </row>
    <row r="117" spans="1:11" x14ac:dyDescent="0.45">
      <c r="A117" s="1" t="s">
        <v>135</v>
      </c>
      <c r="B117" s="1">
        <f t="shared" si="9"/>
        <v>6</v>
      </c>
      <c r="C117" s="1">
        <f t="shared" si="8"/>
        <v>12</v>
      </c>
      <c r="D117" s="1">
        <f t="shared" si="8"/>
        <v>17</v>
      </c>
      <c r="E117" s="1" t="e">
        <f t="shared" si="8"/>
        <v>#VALUE!</v>
      </c>
      <c r="F117" s="3">
        <f>'Data In'!C123</f>
        <v>0.43</v>
      </c>
      <c r="G117" s="4" t="str">
        <f>'Data In'!D123</f>
        <v>a</v>
      </c>
      <c r="H117" s="3" t="e">
        <f t="shared" si="10"/>
        <v>#VALUE!</v>
      </c>
      <c r="I117" s="1" t="e">
        <f t="shared" si="11"/>
        <v>#REF!</v>
      </c>
      <c r="J117" s="1" t="e">
        <f>IF(Table15[[#This Row],[Rising Through Threshold]],Table15[[#This Row],[Start time]],J116)</f>
        <v>#REF!</v>
      </c>
      <c r="K117" s="1" t="e">
        <f>IF(AND(Table15[[#This Row],[Rising Through Threshold]],J116&gt;0),J117-J116,"")</f>
        <v>#REF!</v>
      </c>
    </row>
    <row r="118" spans="1:11" x14ac:dyDescent="0.45">
      <c r="A118" s="1" t="s">
        <v>136</v>
      </c>
      <c r="B118" s="1">
        <f t="shared" si="9"/>
        <v>6</v>
      </c>
      <c r="C118" s="1">
        <f t="shared" si="8"/>
        <v>12</v>
      </c>
      <c r="D118" s="1">
        <f t="shared" si="8"/>
        <v>17</v>
      </c>
      <c r="E118" s="1" t="e">
        <f t="shared" si="8"/>
        <v>#VALUE!</v>
      </c>
      <c r="F118" s="3">
        <f>'Data In'!C124</f>
        <v>0.45</v>
      </c>
      <c r="G118" s="4" t="str">
        <f>'Data In'!D124</f>
        <v>a</v>
      </c>
      <c r="H118" s="3" t="e">
        <f t="shared" si="10"/>
        <v>#VALUE!</v>
      </c>
      <c r="I118" s="1" t="e">
        <f t="shared" si="11"/>
        <v>#REF!</v>
      </c>
      <c r="J118" s="1" t="e">
        <f>IF(Table15[[#This Row],[Rising Through Threshold]],Table15[[#This Row],[Start time]],J117)</f>
        <v>#REF!</v>
      </c>
      <c r="K118" s="1" t="e">
        <f>IF(AND(Table15[[#This Row],[Rising Through Threshold]],J117&gt;0),J118-J117,"")</f>
        <v>#REF!</v>
      </c>
    </row>
    <row r="119" spans="1:11" x14ac:dyDescent="0.45">
      <c r="A119" s="1" t="s">
        <v>137</v>
      </c>
      <c r="B119" s="1">
        <f t="shared" si="9"/>
        <v>6</v>
      </c>
      <c r="C119" s="1">
        <f t="shared" si="8"/>
        <v>12</v>
      </c>
      <c r="D119" s="1">
        <f t="shared" si="8"/>
        <v>17</v>
      </c>
      <c r="E119" s="1" t="e">
        <f t="shared" si="8"/>
        <v>#VALUE!</v>
      </c>
      <c r="F119" s="3">
        <f>'Data In'!C125</f>
        <v>0.49</v>
      </c>
      <c r="G119" s="4" t="str">
        <f>'Data In'!D125</f>
        <v>a</v>
      </c>
      <c r="H119" s="3" t="e">
        <f t="shared" si="10"/>
        <v>#VALUE!</v>
      </c>
      <c r="I119" s="1" t="e">
        <f t="shared" si="11"/>
        <v>#REF!</v>
      </c>
      <c r="J119" s="1" t="e">
        <f>IF(Table15[[#This Row],[Rising Through Threshold]],Table15[[#This Row],[Start time]],J118)</f>
        <v>#REF!</v>
      </c>
      <c r="K119" s="1" t="e">
        <f>IF(AND(Table15[[#This Row],[Rising Through Threshold]],J118&gt;0),J119-J118,"")</f>
        <v>#REF!</v>
      </c>
    </row>
    <row r="120" spans="1:11" x14ac:dyDescent="0.45">
      <c r="A120" s="1" t="s">
        <v>138</v>
      </c>
      <c r="B120" s="1">
        <f t="shared" si="9"/>
        <v>6</v>
      </c>
      <c r="C120" s="1">
        <f t="shared" si="8"/>
        <v>12</v>
      </c>
      <c r="D120" s="1">
        <f t="shared" si="8"/>
        <v>17</v>
      </c>
      <c r="E120" s="1" t="e">
        <f t="shared" si="8"/>
        <v>#VALUE!</v>
      </c>
      <c r="F120" s="3">
        <f>'Data In'!C126</f>
        <v>0.56999999999999995</v>
      </c>
      <c r="G120" s="4" t="str">
        <f>'Data In'!D126</f>
        <v>a</v>
      </c>
      <c r="H120" s="3" t="e">
        <f t="shared" si="10"/>
        <v>#VALUE!</v>
      </c>
      <c r="I120" s="1" t="e">
        <f t="shared" si="11"/>
        <v>#REF!</v>
      </c>
      <c r="J120" s="1" t="e">
        <f>IF(Table15[[#This Row],[Rising Through Threshold]],Table15[[#This Row],[Start time]],J119)</f>
        <v>#REF!</v>
      </c>
      <c r="K120" s="1" t="e">
        <f>IF(AND(Table15[[#This Row],[Rising Through Threshold]],J119&gt;0),J120-J119,"")</f>
        <v>#REF!</v>
      </c>
    </row>
    <row r="121" spans="1:11" x14ac:dyDescent="0.45">
      <c r="A121" s="1" t="s">
        <v>139</v>
      </c>
      <c r="B121" s="1">
        <f t="shared" si="9"/>
        <v>6</v>
      </c>
      <c r="C121" s="1">
        <f t="shared" si="8"/>
        <v>12</v>
      </c>
      <c r="D121" s="1">
        <f t="shared" si="8"/>
        <v>17</v>
      </c>
      <c r="E121" s="1" t="e">
        <f t="shared" si="8"/>
        <v>#VALUE!</v>
      </c>
      <c r="F121" s="3">
        <f>'Data In'!C127</f>
        <v>0.75</v>
      </c>
      <c r="G121" s="4" t="str">
        <f>'Data In'!D127</f>
        <v>a</v>
      </c>
      <c r="H121" s="3" t="e">
        <f t="shared" si="10"/>
        <v>#VALUE!</v>
      </c>
      <c r="I121" s="1" t="e">
        <f t="shared" si="11"/>
        <v>#REF!</v>
      </c>
      <c r="J121" s="1" t="e">
        <f>IF(Table15[[#This Row],[Rising Through Threshold]],Table15[[#This Row],[Start time]],J120)</f>
        <v>#REF!</v>
      </c>
      <c r="K121" s="1" t="e">
        <f>IF(AND(Table15[[#This Row],[Rising Through Threshold]],J120&gt;0),J121-J120,"")</f>
        <v>#REF!</v>
      </c>
    </row>
    <row r="122" spans="1:11" x14ac:dyDescent="0.45">
      <c r="A122" s="1" t="s">
        <v>140</v>
      </c>
      <c r="B122" s="1">
        <f t="shared" si="9"/>
        <v>6</v>
      </c>
      <c r="C122" s="1">
        <f t="shared" si="8"/>
        <v>12</v>
      </c>
      <c r="D122" s="1">
        <f t="shared" si="8"/>
        <v>17</v>
      </c>
      <c r="E122" s="1" t="e">
        <f t="shared" si="8"/>
        <v>#VALUE!</v>
      </c>
      <c r="F122" s="3">
        <f>'Data In'!C128</f>
        <v>0.98</v>
      </c>
      <c r="G122" s="4" t="str">
        <f>'Data In'!D128</f>
        <v>a</v>
      </c>
      <c r="H122" s="3" t="e">
        <f t="shared" si="10"/>
        <v>#VALUE!</v>
      </c>
      <c r="I122" s="1" t="e">
        <f t="shared" si="11"/>
        <v>#REF!</v>
      </c>
      <c r="J122" s="1" t="e">
        <f>IF(Table15[[#This Row],[Rising Through Threshold]],Table15[[#This Row],[Start time]],J121)</f>
        <v>#REF!</v>
      </c>
      <c r="K122" s="1" t="e">
        <f>IF(AND(Table15[[#This Row],[Rising Through Threshold]],J121&gt;0),J122-J121,"")</f>
        <v>#REF!</v>
      </c>
    </row>
    <row r="123" spans="1:11" x14ac:dyDescent="0.45">
      <c r="A123" s="1" t="s">
        <v>141</v>
      </c>
      <c r="B123" s="1">
        <f t="shared" si="9"/>
        <v>6</v>
      </c>
      <c r="C123" s="1">
        <f t="shared" si="8"/>
        <v>12</v>
      </c>
      <c r="D123" s="1">
        <f t="shared" si="8"/>
        <v>17</v>
      </c>
      <c r="E123" s="1" t="e">
        <f t="shared" si="8"/>
        <v>#VALUE!</v>
      </c>
      <c r="F123" s="3">
        <f>'Data In'!C129</f>
        <v>1.24</v>
      </c>
      <c r="G123" s="4" t="str">
        <f>'Data In'!D129</f>
        <v>a</v>
      </c>
      <c r="H123" s="3" t="e">
        <f t="shared" si="10"/>
        <v>#VALUE!</v>
      </c>
      <c r="I123" s="1" t="e">
        <f t="shared" si="11"/>
        <v>#REF!</v>
      </c>
      <c r="J123" s="1" t="e">
        <f>IF(Table15[[#This Row],[Rising Through Threshold]],Table15[[#This Row],[Start time]],J122)</f>
        <v>#REF!</v>
      </c>
      <c r="K123" s="1" t="e">
        <f>IF(AND(Table15[[#This Row],[Rising Through Threshold]],J122&gt;0),J123-J122,"")</f>
        <v>#REF!</v>
      </c>
    </row>
    <row r="124" spans="1:11" x14ac:dyDescent="0.45">
      <c r="A124" s="1" t="s">
        <v>142</v>
      </c>
      <c r="B124" s="1">
        <f t="shared" si="9"/>
        <v>6</v>
      </c>
      <c r="C124" s="1">
        <f t="shared" si="8"/>
        <v>12</v>
      </c>
      <c r="D124" s="1">
        <f t="shared" si="8"/>
        <v>17</v>
      </c>
      <c r="E124" s="1" t="e">
        <f t="shared" si="8"/>
        <v>#VALUE!</v>
      </c>
      <c r="F124" s="3">
        <f>'Data In'!C130</f>
        <v>1.51</v>
      </c>
      <c r="G124" s="4" t="str">
        <f>'Data In'!D130</f>
        <v>a</v>
      </c>
      <c r="H124" s="3" t="e">
        <f t="shared" si="10"/>
        <v>#VALUE!</v>
      </c>
      <c r="I124" s="1" t="e">
        <f t="shared" si="11"/>
        <v>#REF!</v>
      </c>
      <c r="J124" s="1" t="e">
        <f>IF(Table15[[#This Row],[Rising Through Threshold]],Table15[[#This Row],[Start time]],J123)</f>
        <v>#REF!</v>
      </c>
      <c r="K124" s="1" t="e">
        <f>IF(AND(Table15[[#This Row],[Rising Through Threshold]],J123&gt;0),J124-J123,"")</f>
        <v>#REF!</v>
      </c>
    </row>
    <row r="125" spans="1:11" x14ac:dyDescent="0.45">
      <c r="A125" s="1" t="s">
        <v>143</v>
      </c>
      <c r="B125" s="1">
        <f t="shared" si="9"/>
        <v>6</v>
      </c>
      <c r="C125" s="1">
        <f t="shared" si="8"/>
        <v>12</v>
      </c>
      <c r="D125" s="1">
        <f t="shared" si="8"/>
        <v>17</v>
      </c>
      <c r="E125" s="1" t="e">
        <f t="shared" si="8"/>
        <v>#VALUE!</v>
      </c>
      <c r="F125" s="3">
        <f>'Data In'!C131</f>
        <v>1.76</v>
      </c>
      <c r="G125" s="4" t="str">
        <f>'Data In'!D131</f>
        <v>a</v>
      </c>
      <c r="H125" s="3" t="e">
        <f t="shared" si="10"/>
        <v>#VALUE!</v>
      </c>
      <c r="I125" s="1" t="e">
        <f t="shared" si="11"/>
        <v>#REF!</v>
      </c>
      <c r="J125" s="1" t="e">
        <f>IF(Table15[[#This Row],[Rising Through Threshold]],Table15[[#This Row],[Start time]],J124)</f>
        <v>#REF!</v>
      </c>
      <c r="K125" s="1" t="e">
        <f>IF(AND(Table15[[#This Row],[Rising Through Threshold]],J124&gt;0),J125-J124,"")</f>
        <v>#REF!</v>
      </c>
    </row>
    <row r="126" spans="1:11" x14ac:dyDescent="0.45">
      <c r="A126" s="1" t="s">
        <v>144</v>
      </c>
      <c r="B126" s="1">
        <f t="shared" si="9"/>
        <v>6</v>
      </c>
      <c r="C126" s="1">
        <f t="shared" si="8"/>
        <v>12</v>
      </c>
      <c r="D126" s="1">
        <f t="shared" si="8"/>
        <v>17</v>
      </c>
      <c r="E126" s="1" t="e">
        <f t="shared" si="8"/>
        <v>#VALUE!</v>
      </c>
      <c r="F126" s="3">
        <f>'Data In'!C132</f>
        <v>2.02</v>
      </c>
      <c r="G126" s="4" t="str">
        <f>'Data In'!D132</f>
        <v>a</v>
      </c>
      <c r="H126" s="3" t="e">
        <f t="shared" si="10"/>
        <v>#VALUE!</v>
      </c>
      <c r="I126" s="1" t="e">
        <f t="shared" si="11"/>
        <v>#REF!</v>
      </c>
      <c r="J126" s="1" t="e">
        <f>IF(Table15[[#This Row],[Rising Through Threshold]],Table15[[#This Row],[Start time]],J125)</f>
        <v>#REF!</v>
      </c>
      <c r="K126" s="1" t="e">
        <f>IF(AND(Table15[[#This Row],[Rising Through Threshold]],J125&gt;0),J126-J125,"")</f>
        <v>#REF!</v>
      </c>
    </row>
    <row r="127" spans="1:11" x14ac:dyDescent="0.45">
      <c r="A127" s="1" t="s">
        <v>145</v>
      </c>
      <c r="B127" s="1">
        <f t="shared" si="9"/>
        <v>6</v>
      </c>
      <c r="C127" s="1">
        <f t="shared" si="8"/>
        <v>12</v>
      </c>
      <c r="D127" s="1">
        <f t="shared" si="8"/>
        <v>17</v>
      </c>
      <c r="E127" s="1" t="e">
        <f t="shared" si="8"/>
        <v>#VALUE!</v>
      </c>
      <c r="F127" s="3">
        <f>'Data In'!C133</f>
        <v>2.25</v>
      </c>
      <c r="G127" s="4" t="str">
        <f>'Data In'!D133</f>
        <v>a</v>
      </c>
      <c r="H127" s="3" t="e">
        <f t="shared" si="10"/>
        <v>#VALUE!</v>
      </c>
      <c r="I127" s="1" t="e">
        <f t="shared" si="11"/>
        <v>#REF!</v>
      </c>
      <c r="J127" s="1" t="e">
        <f>IF(Table15[[#This Row],[Rising Through Threshold]],Table15[[#This Row],[Start time]],J126)</f>
        <v>#REF!</v>
      </c>
      <c r="K127" s="1" t="e">
        <f>IF(AND(Table15[[#This Row],[Rising Through Threshold]],J126&gt;0),J127-J126,"")</f>
        <v>#REF!</v>
      </c>
    </row>
    <row r="128" spans="1:11" x14ac:dyDescent="0.45">
      <c r="A128" s="1" t="s">
        <v>146</v>
      </c>
      <c r="B128" s="1">
        <f t="shared" si="9"/>
        <v>6</v>
      </c>
      <c r="C128" s="1">
        <f t="shared" ref="C128:E191" si="12">FIND(":",$A128,B128+1)</f>
        <v>12</v>
      </c>
      <c r="D128" s="1">
        <f t="shared" si="12"/>
        <v>17</v>
      </c>
      <c r="E128" s="1" t="e">
        <f t="shared" si="12"/>
        <v>#VALUE!</v>
      </c>
      <c r="F128" s="3">
        <f>'Data In'!C134</f>
        <v>2.4700000000000002</v>
      </c>
      <c r="G128" s="4" t="str">
        <f>'Data In'!D134</f>
        <v>a</v>
      </c>
      <c r="H128" s="3" t="e">
        <f t="shared" si="10"/>
        <v>#VALUE!</v>
      </c>
      <c r="I128" s="1" t="e">
        <f t="shared" si="11"/>
        <v>#REF!</v>
      </c>
      <c r="J128" s="1" t="e">
        <f>IF(Table15[[#This Row],[Rising Through Threshold]],Table15[[#This Row],[Start time]],J127)</f>
        <v>#REF!</v>
      </c>
      <c r="K128" s="1" t="e">
        <f>IF(AND(Table15[[#This Row],[Rising Through Threshold]],J127&gt;0),J128-J127,"")</f>
        <v>#REF!</v>
      </c>
    </row>
    <row r="129" spans="1:11" x14ac:dyDescent="0.45">
      <c r="A129" s="1" t="s">
        <v>147</v>
      </c>
      <c r="B129" s="1">
        <f t="shared" si="9"/>
        <v>6</v>
      </c>
      <c r="C129" s="1">
        <f t="shared" si="12"/>
        <v>12</v>
      </c>
      <c r="D129" s="1">
        <f t="shared" si="12"/>
        <v>17</v>
      </c>
      <c r="E129" s="1" t="e">
        <f t="shared" si="12"/>
        <v>#VALUE!</v>
      </c>
      <c r="F129" s="3">
        <f>'Data In'!C135</f>
        <v>2.67</v>
      </c>
      <c r="G129" s="4" t="str">
        <f>'Data In'!D135</f>
        <v>a</v>
      </c>
      <c r="H129" s="3" t="e">
        <f t="shared" si="10"/>
        <v>#VALUE!</v>
      </c>
      <c r="I129" s="1" t="e">
        <f t="shared" si="11"/>
        <v>#REF!</v>
      </c>
      <c r="J129" s="1" t="e">
        <f>IF(Table15[[#This Row],[Rising Through Threshold]],Table15[[#This Row],[Start time]],J128)</f>
        <v>#REF!</v>
      </c>
      <c r="K129" s="1" t="e">
        <f>IF(AND(Table15[[#This Row],[Rising Through Threshold]],J128&gt;0),J129-J128,"")</f>
        <v>#REF!</v>
      </c>
    </row>
    <row r="130" spans="1:11" x14ac:dyDescent="0.45">
      <c r="A130" s="1" t="s">
        <v>148</v>
      </c>
      <c r="B130" s="1">
        <f t="shared" si="9"/>
        <v>6</v>
      </c>
      <c r="C130" s="1">
        <f t="shared" si="12"/>
        <v>12</v>
      </c>
      <c r="D130" s="1">
        <f t="shared" si="12"/>
        <v>17</v>
      </c>
      <c r="E130" s="1" t="e">
        <f t="shared" si="12"/>
        <v>#VALUE!</v>
      </c>
      <c r="F130" s="3">
        <f>'Data In'!C136</f>
        <v>2.84</v>
      </c>
      <c r="G130" s="4" t="str">
        <f>'Data In'!D136</f>
        <v>a</v>
      </c>
      <c r="H130" s="3" t="e">
        <f t="shared" si="10"/>
        <v>#VALUE!</v>
      </c>
      <c r="I130" s="1" t="e">
        <f t="shared" si="11"/>
        <v>#REF!</v>
      </c>
      <c r="J130" s="1" t="e">
        <f>IF(Table15[[#This Row],[Rising Through Threshold]],Table15[[#This Row],[Start time]],J129)</f>
        <v>#REF!</v>
      </c>
      <c r="K130" s="1" t="e">
        <f>IF(AND(Table15[[#This Row],[Rising Through Threshold]],J129&gt;0),J130-J129,"")</f>
        <v>#REF!</v>
      </c>
    </row>
    <row r="131" spans="1:11" x14ac:dyDescent="0.45">
      <c r="A131" s="1" t="s">
        <v>149</v>
      </c>
      <c r="B131" s="1">
        <f t="shared" ref="B131:B194" si="13">FIND(":",$A131,1)</f>
        <v>6</v>
      </c>
      <c r="C131" s="1">
        <f t="shared" si="12"/>
        <v>12</v>
      </c>
      <c r="D131" s="1">
        <f t="shared" si="12"/>
        <v>17</v>
      </c>
      <c r="E131" s="1" t="e">
        <f t="shared" si="12"/>
        <v>#VALUE!</v>
      </c>
      <c r="F131" s="3">
        <f>'Data In'!C137</f>
        <v>3</v>
      </c>
      <c r="G131" s="4" t="str">
        <f>'Data In'!D137</f>
        <v>a</v>
      </c>
      <c r="H131" s="3" t="e">
        <f t="shared" ref="H131:H194" si="14">_xlfn.NUMBERVALUE(MID($A131,E131+1,1000))</f>
        <v>#VALUE!</v>
      </c>
      <c r="I131" s="1" t="e">
        <f t="shared" si="11"/>
        <v>#REF!</v>
      </c>
      <c r="J131" s="1" t="e">
        <f>IF(Table15[[#This Row],[Rising Through Threshold]],Table15[[#This Row],[Start time]],J130)</f>
        <v>#REF!</v>
      </c>
      <c r="K131" s="1" t="e">
        <f>IF(AND(Table15[[#This Row],[Rising Through Threshold]],J130&gt;0),J131-J130,"")</f>
        <v>#REF!</v>
      </c>
    </row>
    <row r="132" spans="1:11" x14ac:dyDescent="0.45">
      <c r="A132" s="1" t="s">
        <v>150</v>
      </c>
      <c r="B132" s="1">
        <f t="shared" si="13"/>
        <v>6</v>
      </c>
      <c r="C132" s="1">
        <f t="shared" si="12"/>
        <v>12</v>
      </c>
      <c r="D132" s="1">
        <f t="shared" si="12"/>
        <v>17</v>
      </c>
      <c r="E132" s="1" t="e">
        <f t="shared" si="12"/>
        <v>#VALUE!</v>
      </c>
      <c r="F132" s="3">
        <f>'Data In'!C138</f>
        <v>3.16</v>
      </c>
      <c r="G132" s="4" t="str">
        <f>'Data In'!D138</f>
        <v>a</v>
      </c>
      <c r="H132" s="3" t="e">
        <f t="shared" si="14"/>
        <v>#VALUE!</v>
      </c>
      <c r="I132" s="1" t="e">
        <f t="shared" si="11"/>
        <v>#REF!</v>
      </c>
      <c r="J132" s="1" t="e">
        <f>IF(Table15[[#This Row],[Rising Through Threshold]],Table15[[#This Row],[Start time]],J131)</f>
        <v>#REF!</v>
      </c>
      <c r="K132" s="1" t="e">
        <f>IF(AND(Table15[[#This Row],[Rising Through Threshold]],J131&gt;0),J132-J131,"")</f>
        <v>#REF!</v>
      </c>
    </row>
    <row r="133" spans="1:11" x14ac:dyDescent="0.45">
      <c r="A133" s="1" t="s">
        <v>151</v>
      </c>
      <c r="B133" s="1">
        <f t="shared" si="13"/>
        <v>6</v>
      </c>
      <c r="C133" s="1">
        <f t="shared" si="12"/>
        <v>12</v>
      </c>
      <c r="D133" s="1">
        <f t="shared" si="12"/>
        <v>17</v>
      </c>
      <c r="E133" s="1" t="e">
        <f t="shared" si="12"/>
        <v>#VALUE!</v>
      </c>
      <c r="F133" s="3">
        <f>'Data In'!C139</f>
        <v>3.27</v>
      </c>
      <c r="G133" s="4" t="str">
        <f>'Data In'!D139</f>
        <v>a</v>
      </c>
      <c r="H133" s="3" t="e">
        <f t="shared" si="14"/>
        <v>#VALUE!</v>
      </c>
      <c r="I133" s="1" t="e">
        <f t="shared" si="11"/>
        <v>#REF!</v>
      </c>
      <c r="J133" s="1" t="e">
        <f>IF(Table15[[#This Row],[Rising Through Threshold]],Table15[[#This Row],[Start time]],J132)</f>
        <v>#REF!</v>
      </c>
      <c r="K133" s="1" t="e">
        <f>IF(AND(Table15[[#This Row],[Rising Through Threshold]],J132&gt;0),J133-J132,"")</f>
        <v>#REF!</v>
      </c>
    </row>
    <row r="134" spans="1:11" x14ac:dyDescent="0.45">
      <c r="A134" s="1" t="s">
        <v>152</v>
      </c>
      <c r="B134" s="1">
        <f t="shared" si="13"/>
        <v>6</v>
      </c>
      <c r="C134" s="1">
        <f t="shared" si="12"/>
        <v>12</v>
      </c>
      <c r="D134" s="1">
        <f t="shared" si="12"/>
        <v>17</v>
      </c>
      <c r="E134" s="1" t="e">
        <f t="shared" si="12"/>
        <v>#VALUE!</v>
      </c>
      <c r="F134" s="3">
        <f>'Data In'!C140</f>
        <v>3.41</v>
      </c>
      <c r="G134" s="4" t="str">
        <f>'Data In'!D140</f>
        <v>a</v>
      </c>
      <c r="H134" s="3" t="e">
        <f t="shared" si="14"/>
        <v>#VALUE!</v>
      </c>
      <c r="I134" s="1" t="e">
        <f t="shared" si="11"/>
        <v>#REF!</v>
      </c>
      <c r="J134" s="1" t="e">
        <f>IF(Table15[[#This Row],[Rising Through Threshold]],Table15[[#This Row],[Start time]],J133)</f>
        <v>#REF!</v>
      </c>
      <c r="K134" s="1" t="e">
        <f>IF(AND(Table15[[#This Row],[Rising Through Threshold]],J133&gt;0),J134-J133,"")</f>
        <v>#REF!</v>
      </c>
    </row>
    <row r="135" spans="1:11" x14ac:dyDescent="0.45">
      <c r="A135" s="1" t="s">
        <v>153</v>
      </c>
      <c r="B135" s="1">
        <f t="shared" si="13"/>
        <v>6</v>
      </c>
      <c r="C135" s="1">
        <f t="shared" si="12"/>
        <v>12</v>
      </c>
      <c r="D135" s="1">
        <f t="shared" si="12"/>
        <v>17</v>
      </c>
      <c r="E135" s="1" t="e">
        <f t="shared" si="12"/>
        <v>#VALUE!</v>
      </c>
      <c r="F135" s="3">
        <f>'Data In'!C141</f>
        <v>3.51</v>
      </c>
      <c r="G135" s="4" t="str">
        <f>'Data In'!D141</f>
        <v>a</v>
      </c>
      <c r="H135" s="3" t="e">
        <f t="shared" si="14"/>
        <v>#VALUE!</v>
      </c>
      <c r="I135" s="1" t="e">
        <f t="shared" si="11"/>
        <v>#REF!</v>
      </c>
      <c r="J135" s="1" t="e">
        <f>IF(Table15[[#This Row],[Rising Through Threshold]],Table15[[#This Row],[Start time]],J134)</f>
        <v>#REF!</v>
      </c>
      <c r="K135" s="1" t="e">
        <f>IF(AND(Table15[[#This Row],[Rising Through Threshold]],J134&gt;0),J135-J134,"")</f>
        <v>#REF!</v>
      </c>
    </row>
    <row r="136" spans="1:11" x14ac:dyDescent="0.45">
      <c r="A136" s="1" t="s">
        <v>154</v>
      </c>
      <c r="B136" s="1">
        <f t="shared" si="13"/>
        <v>6</v>
      </c>
      <c r="C136" s="1">
        <f t="shared" si="12"/>
        <v>12</v>
      </c>
      <c r="D136" s="1">
        <f t="shared" si="12"/>
        <v>17</v>
      </c>
      <c r="E136" s="1" t="e">
        <f t="shared" si="12"/>
        <v>#VALUE!</v>
      </c>
      <c r="F136" s="3">
        <f>'Data In'!C142</f>
        <v>3.61</v>
      </c>
      <c r="G136" s="4" t="str">
        <f>'Data In'!D142</f>
        <v>a</v>
      </c>
      <c r="H136" s="3" t="e">
        <f t="shared" si="14"/>
        <v>#VALUE!</v>
      </c>
      <c r="I136" s="1" t="e">
        <f t="shared" si="11"/>
        <v>#REF!</v>
      </c>
      <c r="J136" s="1" t="e">
        <f>IF(Table15[[#This Row],[Rising Through Threshold]],Table15[[#This Row],[Start time]],J135)</f>
        <v>#REF!</v>
      </c>
      <c r="K136" s="1" t="e">
        <f>IF(AND(Table15[[#This Row],[Rising Through Threshold]],J135&gt;0),J136-J135,"")</f>
        <v>#REF!</v>
      </c>
    </row>
    <row r="137" spans="1:11" x14ac:dyDescent="0.45">
      <c r="A137" s="1" t="s">
        <v>155</v>
      </c>
      <c r="B137" s="1">
        <f t="shared" si="13"/>
        <v>6</v>
      </c>
      <c r="C137" s="1">
        <f t="shared" si="12"/>
        <v>12</v>
      </c>
      <c r="D137" s="1">
        <f t="shared" si="12"/>
        <v>17</v>
      </c>
      <c r="E137" s="1" t="e">
        <f t="shared" si="12"/>
        <v>#VALUE!</v>
      </c>
      <c r="F137" s="3">
        <f>'Data In'!C143</f>
        <v>3.67</v>
      </c>
      <c r="G137" s="4" t="str">
        <f>'Data In'!D143</f>
        <v>a</v>
      </c>
      <c r="H137" s="3" t="e">
        <f t="shared" si="14"/>
        <v>#VALUE!</v>
      </c>
      <c r="I137" s="1" t="e">
        <f t="shared" si="11"/>
        <v>#REF!</v>
      </c>
      <c r="J137" s="1" t="e">
        <f>IF(Table15[[#This Row],[Rising Through Threshold]],Table15[[#This Row],[Start time]],J136)</f>
        <v>#REF!</v>
      </c>
      <c r="K137" s="1" t="e">
        <f>IF(AND(Table15[[#This Row],[Rising Through Threshold]],J136&gt;0),J137-J136,"")</f>
        <v>#REF!</v>
      </c>
    </row>
    <row r="138" spans="1:11" x14ac:dyDescent="0.45">
      <c r="A138" s="1" t="s">
        <v>156</v>
      </c>
      <c r="B138" s="1">
        <f t="shared" si="13"/>
        <v>6</v>
      </c>
      <c r="C138" s="1">
        <f t="shared" si="12"/>
        <v>12</v>
      </c>
      <c r="D138" s="1">
        <f t="shared" si="12"/>
        <v>17</v>
      </c>
      <c r="E138" s="1" t="e">
        <f t="shared" si="12"/>
        <v>#VALUE!</v>
      </c>
      <c r="F138" s="3">
        <f>'Data In'!C144</f>
        <v>3.73</v>
      </c>
      <c r="G138" s="4" t="str">
        <f>'Data In'!D144</f>
        <v>a</v>
      </c>
      <c r="H138" s="3" t="e">
        <f t="shared" si="14"/>
        <v>#VALUE!</v>
      </c>
      <c r="I138" s="1" t="e">
        <f t="shared" si="11"/>
        <v>#REF!</v>
      </c>
      <c r="J138" s="1" t="e">
        <f>IF(Table15[[#This Row],[Rising Through Threshold]],Table15[[#This Row],[Start time]],J137)</f>
        <v>#REF!</v>
      </c>
      <c r="K138" s="1" t="e">
        <f>IF(AND(Table15[[#This Row],[Rising Through Threshold]],J137&gt;0),J138-J137,"")</f>
        <v>#REF!</v>
      </c>
    </row>
    <row r="139" spans="1:11" x14ac:dyDescent="0.45">
      <c r="A139" s="1" t="s">
        <v>157</v>
      </c>
      <c r="B139" s="1">
        <f t="shared" si="13"/>
        <v>6</v>
      </c>
      <c r="C139" s="1">
        <f t="shared" si="12"/>
        <v>12</v>
      </c>
      <c r="D139" s="1">
        <f t="shared" si="12"/>
        <v>17</v>
      </c>
      <c r="E139" s="1" t="e">
        <f t="shared" si="12"/>
        <v>#VALUE!</v>
      </c>
      <c r="F139" s="3">
        <f>'Data In'!C145</f>
        <v>3.73</v>
      </c>
      <c r="G139" s="4" t="str">
        <f>'Data In'!D145</f>
        <v>a</v>
      </c>
      <c r="H139" s="3" t="e">
        <f t="shared" si="14"/>
        <v>#VALUE!</v>
      </c>
      <c r="I139" s="1" t="e">
        <f t="shared" si="11"/>
        <v>#REF!</v>
      </c>
      <c r="J139" s="1" t="e">
        <f>IF(Table15[[#This Row],[Rising Through Threshold]],Table15[[#This Row],[Start time]],J138)</f>
        <v>#REF!</v>
      </c>
      <c r="K139" s="1" t="e">
        <f>IF(AND(Table15[[#This Row],[Rising Through Threshold]],J138&gt;0),J139-J138,"")</f>
        <v>#REF!</v>
      </c>
    </row>
    <row r="140" spans="1:11" x14ac:dyDescent="0.45">
      <c r="A140" s="1" t="s">
        <v>158</v>
      </c>
      <c r="B140" s="1">
        <f t="shared" si="13"/>
        <v>6</v>
      </c>
      <c r="C140" s="1">
        <f t="shared" si="12"/>
        <v>12</v>
      </c>
      <c r="D140" s="1">
        <f t="shared" si="12"/>
        <v>17</v>
      </c>
      <c r="E140" s="1" t="e">
        <f t="shared" si="12"/>
        <v>#VALUE!</v>
      </c>
      <c r="F140" s="3">
        <f>'Data In'!C146</f>
        <v>3.67</v>
      </c>
      <c r="G140" s="4" t="str">
        <f>'Data In'!D146</f>
        <v>a</v>
      </c>
      <c r="H140" s="3" t="e">
        <f t="shared" si="14"/>
        <v>#VALUE!</v>
      </c>
      <c r="I140" s="1" t="e">
        <f t="shared" si="11"/>
        <v>#REF!</v>
      </c>
      <c r="J140" s="1" t="e">
        <f>IF(Table15[[#This Row],[Rising Through Threshold]],Table15[[#This Row],[Start time]],J139)</f>
        <v>#REF!</v>
      </c>
      <c r="K140" s="1" t="e">
        <f>IF(AND(Table15[[#This Row],[Rising Through Threshold]],J139&gt;0),J140-J139,"")</f>
        <v>#REF!</v>
      </c>
    </row>
    <row r="141" spans="1:11" x14ac:dyDescent="0.45">
      <c r="A141" s="1" t="s">
        <v>159</v>
      </c>
      <c r="B141" s="1">
        <f t="shared" si="13"/>
        <v>6</v>
      </c>
      <c r="C141" s="1">
        <f t="shared" si="12"/>
        <v>12</v>
      </c>
      <c r="D141" s="1">
        <f t="shared" si="12"/>
        <v>17</v>
      </c>
      <c r="E141" s="1" t="e">
        <f t="shared" si="12"/>
        <v>#VALUE!</v>
      </c>
      <c r="F141" s="3">
        <f>'Data In'!C147</f>
        <v>3.45</v>
      </c>
      <c r="G141" s="4" t="str">
        <f>'Data In'!D147</f>
        <v>a</v>
      </c>
      <c r="H141" s="3" t="e">
        <f t="shared" si="14"/>
        <v>#VALUE!</v>
      </c>
      <c r="I141" s="1" t="e">
        <f t="shared" si="11"/>
        <v>#REF!</v>
      </c>
      <c r="J141" s="1" t="e">
        <f>IF(Table15[[#This Row],[Rising Through Threshold]],Table15[[#This Row],[Start time]],J140)</f>
        <v>#REF!</v>
      </c>
      <c r="K141" s="1" t="e">
        <f>IF(AND(Table15[[#This Row],[Rising Through Threshold]],J140&gt;0),J141-J140,"")</f>
        <v>#REF!</v>
      </c>
    </row>
    <row r="142" spans="1:11" x14ac:dyDescent="0.45">
      <c r="A142" s="1" t="s">
        <v>160</v>
      </c>
      <c r="B142" s="1">
        <f t="shared" si="13"/>
        <v>6</v>
      </c>
      <c r="C142" s="1">
        <f t="shared" si="12"/>
        <v>12</v>
      </c>
      <c r="D142" s="1">
        <f t="shared" si="12"/>
        <v>17</v>
      </c>
      <c r="E142" s="1" t="e">
        <f t="shared" si="12"/>
        <v>#VALUE!</v>
      </c>
      <c r="F142" s="3">
        <f>'Data In'!C148</f>
        <v>3.06</v>
      </c>
      <c r="G142" s="4" t="str">
        <f>'Data In'!D148</f>
        <v>a</v>
      </c>
      <c r="H142" s="3" t="e">
        <f t="shared" si="14"/>
        <v>#VALUE!</v>
      </c>
      <c r="I142" s="1" t="e">
        <f t="shared" si="11"/>
        <v>#REF!</v>
      </c>
      <c r="J142" s="1" t="e">
        <f>IF(Table15[[#This Row],[Rising Through Threshold]],Table15[[#This Row],[Start time]],J141)</f>
        <v>#REF!</v>
      </c>
      <c r="K142" s="1" t="e">
        <f>IF(AND(Table15[[#This Row],[Rising Through Threshold]],J141&gt;0),J142-J141,"")</f>
        <v>#REF!</v>
      </c>
    </row>
    <row r="143" spans="1:11" x14ac:dyDescent="0.45">
      <c r="A143" s="1" t="s">
        <v>161</v>
      </c>
      <c r="B143" s="1">
        <f t="shared" si="13"/>
        <v>6</v>
      </c>
      <c r="C143" s="1">
        <f t="shared" si="12"/>
        <v>12</v>
      </c>
      <c r="D143" s="1">
        <f t="shared" si="12"/>
        <v>17</v>
      </c>
      <c r="E143" s="1" t="e">
        <f t="shared" si="12"/>
        <v>#VALUE!</v>
      </c>
      <c r="F143" s="3">
        <f>'Data In'!C149</f>
        <v>2.4900000000000002</v>
      </c>
      <c r="G143" s="4" t="str">
        <f>'Data In'!D149</f>
        <v>a</v>
      </c>
      <c r="H143" s="3" t="e">
        <f t="shared" si="14"/>
        <v>#VALUE!</v>
      </c>
      <c r="I143" s="1" t="e">
        <f t="shared" si="11"/>
        <v>#REF!</v>
      </c>
      <c r="J143" s="1" t="e">
        <f>IF(Table15[[#This Row],[Rising Through Threshold]],Table15[[#This Row],[Start time]],J142)</f>
        <v>#REF!</v>
      </c>
      <c r="K143" s="1" t="e">
        <f>IF(AND(Table15[[#This Row],[Rising Through Threshold]],J142&gt;0),J143-J142,"")</f>
        <v>#REF!</v>
      </c>
    </row>
    <row r="144" spans="1:11" x14ac:dyDescent="0.45">
      <c r="A144" s="1" t="s">
        <v>162</v>
      </c>
      <c r="B144" s="1">
        <f t="shared" si="13"/>
        <v>6</v>
      </c>
      <c r="C144" s="1">
        <f t="shared" si="12"/>
        <v>12</v>
      </c>
      <c r="D144" s="1">
        <f t="shared" si="12"/>
        <v>17</v>
      </c>
      <c r="E144" s="1" t="e">
        <f t="shared" si="12"/>
        <v>#VALUE!</v>
      </c>
      <c r="F144" s="3">
        <f>'Data In'!C150</f>
        <v>1.78</v>
      </c>
      <c r="G144" s="4" t="str">
        <f>'Data In'!D150</f>
        <v>a</v>
      </c>
      <c r="H144" s="3" t="e">
        <f t="shared" si="14"/>
        <v>#VALUE!</v>
      </c>
      <c r="I144" s="1" t="e">
        <f t="shared" si="11"/>
        <v>#REF!</v>
      </c>
      <c r="J144" s="1" t="e">
        <f>IF(Table15[[#This Row],[Rising Through Threshold]],Table15[[#This Row],[Start time]],J143)</f>
        <v>#REF!</v>
      </c>
      <c r="K144" s="1" t="e">
        <f>IF(AND(Table15[[#This Row],[Rising Through Threshold]],J143&gt;0),J144-J143,"")</f>
        <v>#REF!</v>
      </c>
    </row>
    <row r="145" spans="1:11" x14ac:dyDescent="0.45">
      <c r="A145" s="1" t="s">
        <v>163</v>
      </c>
      <c r="B145" s="1">
        <f t="shared" si="13"/>
        <v>6</v>
      </c>
      <c r="C145" s="1">
        <f t="shared" si="12"/>
        <v>12</v>
      </c>
      <c r="D145" s="1">
        <f t="shared" si="12"/>
        <v>17</v>
      </c>
      <c r="E145" s="1" t="e">
        <f t="shared" si="12"/>
        <v>#VALUE!</v>
      </c>
      <c r="F145" s="3">
        <f>'Data In'!C151</f>
        <v>1.06</v>
      </c>
      <c r="G145" s="4" t="str">
        <f>'Data In'!D151</f>
        <v>a</v>
      </c>
      <c r="H145" s="3" t="e">
        <f t="shared" si="14"/>
        <v>#VALUE!</v>
      </c>
      <c r="I145" s="1" t="e">
        <f t="shared" si="11"/>
        <v>#REF!</v>
      </c>
      <c r="J145" s="1" t="e">
        <f>IF(Table15[[#This Row],[Rising Through Threshold]],Table15[[#This Row],[Start time]],J144)</f>
        <v>#REF!</v>
      </c>
      <c r="K145" s="1" t="e">
        <f>IF(AND(Table15[[#This Row],[Rising Through Threshold]],J144&gt;0),J145-J144,"")</f>
        <v>#REF!</v>
      </c>
    </row>
    <row r="146" spans="1:11" x14ac:dyDescent="0.45">
      <c r="A146" s="1" t="s">
        <v>164</v>
      </c>
      <c r="B146" s="1">
        <f t="shared" si="13"/>
        <v>6</v>
      </c>
      <c r="C146" s="1">
        <f t="shared" si="12"/>
        <v>12</v>
      </c>
      <c r="D146" s="1">
        <f t="shared" si="12"/>
        <v>17</v>
      </c>
      <c r="E146" s="1" t="e">
        <f t="shared" si="12"/>
        <v>#VALUE!</v>
      </c>
      <c r="F146" s="3">
        <f>'Data In'!C152</f>
        <v>0.47</v>
      </c>
      <c r="G146" s="4" t="str">
        <f>'Data In'!D152</f>
        <v>a</v>
      </c>
      <c r="H146" s="3" t="e">
        <f t="shared" si="14"/>
        <v>#VALUE!</v>
      </c>
      <c r="I146" s="1" t="e">
        <f t="shared" si="11"/>
        <v>#REF!</v>
      </c>
      <c r="J146" s="1" t="e">
        <f>IF(Table15[[#This Row],[Rising Through Threshold]],Table15[[#This Row],[Start time]],J145)</f>
        <v>#REF!</v>
      </c>
      <c r="K146" s="1" t="e">
        <f>IF(AND(Table15[[#This Row],[Rising Through Threshold]],J145&gt;0),J146-J145,"")</f>
        <v>#REF!</v>
      </c>
    </row>
    <row r="147" spans="1:11" x14ac:dyDescent="0.45">
      <c r="A147" s="1" t="s">
        <v>165</v>
      </c>
      <c r="B147" s="1">
        <f t="shared" si="13"/>
        <v>6</v>
      </c>
      <c r="C147" s="1">
        <f t="shared" si="12"/>
        <v>12</v>
      </c>
      <c r="D147" s="1">
        <f t="shared" si="12"/>
        <v>17</v>
      </c>
      <c r="E147" s="1" t="e">
        <f t="shared" si="12"/>
        <v>#VALUE!</v>
      </c>
      <c r="F147" s="3">
        <f>'Data In'!C153</f>
        <v>0.45</v>
      </c>
      <c r="G147" s="4" t="str">
        <f>'Data In'!D153</f>
        <v>a</v>
      </c>
      <c r="H147" s="3" t="e">
        <f t="shared" si="14"/>
        <v>#VALUE!</v>
      </c>
      <c r="I147" s="1" t="e">
        <f t="shared" si="11"/>
        <v>#REF!</v>
      </c>
      <c r="J147" s="1" t="e">
        <f>IF(Table15[[#This Row],[Rising Through Threshold]],Table15[[#This Row],[Start time]],J146)</f>
        <v>#REF!</v>
      </c>
      <c r="K147" s="1" t="e">
        <f>IF(AND(Table15[[#This Row],[Rising Through Threshold]],J146&gt;0),J147-J146,"")</f>
        <v>#REF!</v>
      </c>
    </row>
    <row r="148" spans="1:11" x14ac:dyDescent="0.45">
      <c r="A148" s="1" t="s">
        <v>166</v>
      </c>
      <c r="B148" s="1">
        <f t="shared" si="13"/>
        <v>6</v>
      </c>
      <c r="C148" s="1">
        <f t="shared" si="12"/>
        <v>12</v>
      </c>
      <c r="D148" s="1">
        <f t="shared" si="12"/>
        <v>17</v>
      </c>
      <c r="E148" s="1" t="e">
        <f t="shared" si="12"/>
        <v>#VALUE!</v>
      </c>
      <c r="F148" s="3">
        <f>'Data In'!C154</f>
        <v>0.47</v>
      </c>
      <c r="G148" s="4" t="str">
        <f>'Data In'!D154</f>
        <v>a</v>
      </c>
      <c r="H148" s="3" t="e">
        <f t="shared" si="14"/>
        <v>#VALUE!</v>
      </c>
      <c r="I148" s="1" t="e">
        <f t="shared" si="11"/>
        <v>#REF!</v>
      </c>
      <c r="J148" s="1" t="e">
        <f>IF(Table15[[#This Row],[Rising Through Threshold]],Table15[[#This Row],[Start time]],J147)</f>
        <v>#REF!</v>
      </c>
      <c r="K148" s="1" t="e">
        <f>IF(AND(Table15[[#This Row],[Rising Through Threshold]],J147&gt;0),J148-J147,"")</f>
        <v>#REF!</v>
      </c>
    </row>
    <row r="149" spans="1:11" x14ac:dyDescent="0.45">
      <c r="A149" s="1" t="s">
        <v>167</v>
      </c>
      <c r="B149" s="1">
        <f t="shared" si="13"/>
        <v>6</v>
      </c>
      <c r="C149" s="1">
        <f t="shared" si="12"/>
        <v>12</v>
      </c>
      <c r="D149" s="1">
        <f t="shared" si="12"/>
        <v>17</v>
      </c>
      <c r="E149" s="1" t="e">
        <f t="shared" si="12"/>
        <v>#VALUE!</v>
      </c>
      <c r="F149" s="3">
        <f>'Data In'!C155</f>
        <v>0.53</v>
      </c>
      <c r="G149" s="4" t="str">
        <f>'Data In'!D155</f>
        <v>a</v>
      </c>
      <c r="H149" s="3" t="e">
        <f t="shared" si="14"/>
        <v>#VALUE!</v>
      </c>
      <c r="I149" s="1" t="e">
        <f t="shared" si="11"/>
        <v>#REF!</v>
      </c>
      <c r="J149" s="1" t="e">
        <f>IF(Table15[[#This Row],[Rising Through Threshold]],Table15[[#This Row],[Start time]],J148)</f>
        <v>#REF!</v>
      </c>
      <c r="K149" s="1" t="e">
        <f>IF(AND(Table15[[#This Row],[Rising Through Threshold]],J148&gt;0),J149-J148,"")</f>
        <v>#REF!</v>
      </c>
    </row>
    <row r="150" spans="1:11" x14ac:dyDescent="0.45">
      <c r="A150" s="1" t="s">
        <v>168</v>
      </c>
      <c r="B150" s="1">
        <f t="shared" si="13"/>
        <v>6</v>
      </c>
      <c r="C150" s="1">
        <f t="shared" si="12"/>
        <v>12</v>
      </c>
      <c r="D150" s="1">
        <f t="shared" si="12"/>
        <v>17</v>
      </c>
      <c r="E150" s="1" t="e">
        <f t="shared" si="12"/>
        <v>#VALUE!</v>
      </c>
      <c r="F150" s="3">
        <f>'Data In'!C156</f>
        <v>0.69</v>
      </c>
      <c r="G150" s="4" t="str">
        <f>'Data In'!D156</f>
        <v>a</v>
      </c>
      <c r="H150" s="3" t="e">
        <f t="shared" si="14"/>
        <v>#VALUE!</v>
      </c>
      <c r="I150" s="1" t="e">
        <f t="shared" si="11"/>
        <v>#REF!</v>
      </c>
      <c r="J150" s="1" t="e">
        <f>IF(Table15[[#This Row],[Rising Through Threshold]],Table15[[#This Row],[Start time]],J149)</f>
        <v>#REF!</v>
      </c>
      <c r="K150" s="1" t="e">
        <f>IF(AND(Table15[[#This Row],[Rising Through Threshold]],J149&gt;0),J150-J149,"")</f>
        <v>#REF!</v>
      </c>
    </row>
    <row r="151" spans="1:11" x14ac:dyDescent="0.45">
      <c r="A151" s="1" t="s">
        <v>169</v>
      </c>
      <c r="B151" s="1">
        <f t="shared" si="13"/>
        <v>6</v>
      </c>
      <c r="C151" s="1">
        <f t="shared" si="12"/>
        <v>12</v>
      </c>
      <c r="D151" s="1">
        <f t="shared" si="12"/>
        <v>17</v>
      </c>
      <c r="E151" s="1" t="e">
        <f t="shared" si="12"/>
        <v>#VALUE!</v>
      </c>
      <c r="F151" s="3">
        <f>'Data In'!C157</f>
        <v>0.88</v>
      </c>
      <c r="G151" s="4" t="str">
        <f>'Data In'!D157</f>
        <v>a</v>
      </c>
      <c r="H151" s="3" t="e">
        <f t="shared" si="14"/>
        <v>#VALUE!</v>
      </c>
      <c r="I151" s="1" t="e">
        <f t="shared" si="11"/>
        <v>#REF!</v>
      </c>
      <c r="J151" s="1" t="e">
        <f>IF(Table15[[#This Row],[Rising Through Threshold]],Table15[[#This Row],[Start time]],J150)</f>
        <v>#REF!</v>
      </c>
      <c r="K151" s="1" t="e">
        <f>IF(AND(Table15[[#This Row],[Rising Through Threshold]],J150&gt;0),J151-J150,"")</f>
        <v>#REF!</v>
      </c>
    </row>
    <row r="152" spans="1:11" x14ac:dyDescent="0.45">
      <c r="A152" s="1" t="s">
        <v>170</v>
      </c>
      <c r="B152" s="1">
        <f t="shared" si="13"/>
        <v>6</v>
      </c>
      <c r="C152" s="1">
        <f t="shared" si="12"/>
        <v>12</v>
      </c>
      <c r="D152" s="1">
        <f t="shared" si="12"/>
        <v>17</v>
      </c>
      <c r="E152" s="1" t="e">
        <f t="shared" si="12"/>
        <v>#VALUE!</v>
      </c>
      <c r="F152" s="3">
        <f>'Data In'!C158</f>
        <v>1.1399999999999999</v>
      </c>
      <c r="G152" s="4" t="str">
        <f>'Data In'!D158</f>
        <v>a</v>
      </c>
      <c r="H152" s="3" t="e">
        <f t="shared" si="14"/>
        <v>#VALUE!</v>
      </c>
      <c r="I152" s="1" t="e">
        <f t="shared" si="11"/>
        <v>#REF!</v>
      </c>
      <c r="J152" s="1" t="e">
        <f>IF(Table15[[#This Row],[Rising Through Threshold]],Table15[[#This Row],[Start time]],J151)</f>
        <v>#REF!</v>
      </c>
      <c r="K152" s="1" t="e">
        <f>IF(AND(Table15[[#This Row],[Rising Through Threshold]],J151&gt;0),J152-J151,"")</f>
        <v>#REF!</v>
      </c>
    </row>
    <row r="153" spans="1:11" x14ac:dyDescent="0.45">
      <c r="A153" s="1" t="s">
        <v>171</v>
      </c>
      <c r="B153" s="1">
        <f t="shared" si="13"/>
        <v>6</v>
      </c>
      <c r="C153" s="1">
        <f t="shared" si="12"/>
        <v>12</v>
      </c>
      <c r="D153" s="1">
        <f t="shared" si="12"/>
        <v>17</v>
      </c>
      <c r="E153" s="1" t="e">
        <f t="shared" si="12"/>
        <v>#VALUE!</v>
      </c>
      <c r="F153" s="3">
        <f>'Data In'!C159</f>
        <v>1.41</v>
      </c>
      <c r="G153" s="4" t="str">
        <f>'Data In'!D159</f>
        <v>a</v>
      </c>
      <c r="H153" s="3" t="e">
        <f t="shared" si="14"/>
        <v>#VALUE!</v>
      </c>
      <c r="I153" s="1" t="e">
        <f t="shared" si="11"/>
        <v>#REF!</v>
      </c>
      <c r="J153" s="1" t="e">
        <f>IF(Table15[[#This Row],[Rising Through Threshold]],Table15[[#This Row],[Start time]],J152)</f>
        <v>#REF!</v>
      </c>
      <c r="K153" s="1" t="e">
        <f>IF(AND(Table15[[#This Row],[Rising Through Threshold]],J152&gt;0),J153-J152,"")</f>
        <v>#REF!</v>
      </c>
    </row>
    <row r="154" spans="1:11" x14ac:dyDescent="0.45">
      <c r="A154" s="1" t="s">
        <v>172</v>
      </c>
      <c r="B154" s="1">
        <f t="shared" si="13"/>
        <v>6</v>
      </c>
      <c r="C154" s="1">
        <f t="shared" si="12"/>
        <v>12</v>
      </c>
      <c r="D154" s="1">
        <f t="shared" si="12"/>
        <v>17</v>
      </c>
      <c r="E154" s="1" t="e">
        <f t="shared" si="12"/>
        <v>#VALUE!</v>
      </c>
      <c r="F154" s="3">
        <f>'Data In'!C160</f>
        <v>1.69</v>
      </c>
      <c r="G154" s="4" t="str">
        <f>'Data In'!D160</f>
        <v>a</v>
      </c>
      <c r="H154" s="3" t="e">
        <f t="shared" si="14"/>
        <v>#VALUE!</v>
      </c>
      <c r="I154" s="1" t="e">
        <f t="shared" si="11"/>
        <v>#REF!</v>
      </c>
      <c r="J154" s="1" t="e">
        <f>IF(Table15[[#This Row],[Rising Through Threshold]],Table15[[#This Row],[Start time]],J153)</f>
        <v>#REF!</v>
      </c>
      <c r="K154" s="1" t="e">
        <f>IF(AND(Table15[[#This Row],[Rising Through Threshold]],J153&gt;0),J154-J153,"")</f>
        <v>#REF!</v>
      </c>
    </row>
    <row r="155" spans="1:11" x14ac:dyDescent="0.45">
      <c r="A155" s="1" t="s">
        <v>173</v>
      </c>
      <c r="B155" s="1">
        <f t="shared" si="13"/>
        <v>6</v>
      </c>
      <c r="C155" s="1">
        <f t="shared" si="12"/>
        <v>12</v>
      </c>
      <c r="D155" s="1">
        <f t="shared" si="12"/>
        <v>17</v>
      </c>
      <c r="E155" s="1" t="e">
        <f t="shared" si="12"/>
        <v>#VALUE!</v>
      </c>
      <c r="F155" s="3">
        <f>'Data In'!C161</f>
        <v>1.94</v>
      </c>
      <c r="G155" s="4" t="str">
        <f>'Data In'!D161</f>
        <v>a</v>
      </c>
      <c r="H155" s="3" t="e">
        <f t="shared" si="14"/>
        <v>#VALUE!</v>
      </c>
      <c r="I155" s="1" t="e">
        <f t="shared" si="11"/>
        <v>#REF!</v>
      </c>
      <c r="J155" s="1" t="e">
        <f>IF(Table15[[#This Row],[Rising Through Threshold]],Table15[[#This Row],[Start time]],J154)</f>
        <v>#REF!</v>
      </c>
      <c r="K155" s="1" t="e">
        <f>IF(AND(Table15[[#This Row],[Rising Through Threshold]],J154&gt;0),J155-J154,"")</f>
        <v>#REF!</v>
      </c>
    </row>
    <row r="156" spans="1:11" x14ac:dyDescent="0.45">
      <c r="A156" s="1" t="s">
        <v>174</v>
      </c>
      <c r="B156" s="1">
        <f t="shared" si="13"/>
        <v>6</v>
      </c>
      <c r="C156" s="1">
        <f t="shared" si="12"/>
        <v>12</v>
      </c>
      <c r="D156" s="1">
        <f t="shared" si="12"/>
        <v>17</v>
      </c>
      <c r="E156" s="1" t="e">
        <f t="shared" si="12"/>
        <v>#VALUE!</v>
      </c>
      <c r="F156" s="3">
        <f>'Data In'!C162</f>
        <v>2.1800000000000002</v>
      </c>
      <c r="G156" s="4" t="str">
        <f>'Data In'!D162</f>
        <v>a</v>
      </c>
      <c r="H156" s="3" t="e">
        <f t="shared" si="14"/>
        <v>#VALUE!</v>
      </c>
      <c r="I156" s="1" t="e">
        <f t="shared" si="11"/>
        <v>#REF!</v>
      </c>
      <c r="J156" s="1" t="e">
        <f>IF(Table15[[#This Row],[Rising Through Threshold]],Table15[[#This Row],[Start time]],J155)</f>
        <v>#REF!</v>
      </c>
      <c r="K156" s="1" t="e">
        <f>IF(AND(Table15[[#This Row],[Rising Through Threshold]],J155&gt;0),J156-J155,"")</f>
        <v>#REF!</v>
      </c>
    </row>
    <row r="157" spans="1:11" x14ac:dyDescent="0.45">
      <c r="A157" s="1" t="s">
        <v>175</v>
      </c>
      <c r="B157" s="1">
        <f t="shared" si="13"/>
        <v>6</v>
      </c>
      <c r="C157" s="1">
        <f t="shared" si="12"/>
        <v>12</v>
      </c>
      <c r="D157" s="1">
        <f t="shared" si="12"/>
        <v>17</v>
      </c>
      <c r="E157" s="1" t="e">
        <f t="shared" si="12"/>
        <v>#VALUE!</v>
      </c>
      <c r="F157" s="3">
        <f>'Data In'!C163</f>
        <v>2.39</v>
      </c>
      <c r="G157" s="4" t="str">
        <f>'Data In'!D163</f>
        <v>a</v>
      </c>
      <c r="H157" s="3" t="e">
        <f t="shared" si="14"/>
        <v>#VALUE!</v>
      </c>
      <c r="I157" s="1" t="e">
        <f t="shared" si="11"/>
        <v>#REF!</v>
      </c>
      <c r="J157" s="1" t="e">
        <f>IF(Table15[[#This Row],[Rising Through Threshold]],Table15[[#This Row],[Start time]],J156)</f>
        <v>#REF!</v>
      </c>
      <c r="K157" s="1" t="e">
        <f>IF(AND(Table15[[#This Row],[Rising Through Threshold]],J156&gt;0),J157-J156,"")</f>
        <v>#REF!</v>
      </c>
    </row>
    <row r="158" spans="1:11" x14ac:dyDescent="0.45">
      <c r="A158" s="1" t="s">
        <v>176</v>
      </c>
      <c r="B158" s="1">
        <f t="shared" si="13"/>
        <v>6</v>
      </c>
      <c r="C158" s="1">
        <f t="shared" si="12"/>
        <v>12</v>
      </c>
      <c r="D158" s="1">
        <f t="shared" si="12"/>
        <v>17</v>
      </c>
      <c r="E158" s="1" t="e">
        <f t="shared" si="12"/>
        <v>#VALUE!</v>
      </c>
      <c r="F158" s="3">
        <f>'Data In'!C164</f>
        <v>2.59</v>
      </c>
      <c r="G158" s="4" t="str">
        <f>'Data In'!D164</f>
        <v>a</v>
      </c>
      <c r="H158" s="3" t="e">
        <f t="shared" si="14"/>
        <v>#VALUE!</v>
      </c>
      <c r="I158" s="1" t="e">
        <f t="shared" si="11"/>
        <v>#REF!</v>
      </c>
      <c r="J158" s="1" t="e">
        <f>IF(Table15[[#This Row],[Rising Through Threshold]],Table15[[#This Row],[Start time]],J157)</f>
        <v>#REF!</v>
      </c>
      <c r="K158" s="1" t="e">
        <f>IF(AND(Table15[[#This Row],[Rising Through Threshold]],J157&gt;0),J158-J157,"")</f>
        <v>#REF!</v>
      </c>
    </row>
    <row r="159" spans="1:11" x14ac:dyDescent="0.45">
      <c r="A159" s="1" t="s">
        <v>177</v>
      </c>
      <c r="B159" s="1">
        <f t="shared" si="13"/>
        <v>6</v>
      </c>
      <c r="C159" s="1">
        <f t="shared" si="12"/>
        <v>12</v>
      </c>
      <c r="D159" s="1">
        <f t="shared" si="12"/>
        <v>17</v>
      </c>
      <c r="E159" s="1" t="e">
        <f t="shared" si="12"/>
        <v>#VALUE!</v>
      </c>
      <c r="F159" s="3">
        <f>'Data In'!C165</f>
        <v>2.78</v>
      </c>
      <c r="G159" s="4" t="str">
        <f>'Data In'!D165</f>
        <v>a</v>
      </c>
      <c r="H159" s="3" t="e">
        <f t="shared" si="14"/>
        <v>#VALUE!</v>
      </c>
      <c r="I159" s="1" t="e">
        <f t="shared" si="11"/>
        <v>#REF!</v>
      </c>
      <c r="J159" s="1" t="e">
        <f>IF(Table15[[#This Row],[Rising Through Threshold]],Table15[[#This Row],[Start time]],J158)</f>
        <v>#REF!</v>
      </c>
      <c r="K159" s="1" t="e">
        <f>IF(AND(Table15[[#This Row],[Rising Through Threshold]],J158&gt;0),J159-J158,"")</f>
        <v>#REF!</v>
      </c>
    </row>
    <row r="160" spans="1:11" x14ac:dyDescent="0.45">
      <c r="A160" s="1" t="s">
        <v>178</v>
      </c>
      <c r="B160" s="1">
        <f t="shared" si="13"/>
        <v>6</v>
      </c>
      <c r="C160" s="1">
        <f t="shared" si="12"/>
        <v>12</v>
      </c>
      <c r="D160" s="1">
        <f t="shared" si="12"/>
        <v>17</v>
      </c>
      <c r="E160" s="1" t="e">
        <f t="shared" si="12"/>
        <v>#VALUE!</v>
      </c>
      <c r="F160" s="3">
        <f>'Data In'!C166</f>
        <v>2.94</v>
      </c>
      <c r="G160" s="4" t="str">
        <f>'Data In'!D166</f>
        <v>a</v>
      </c>
      <c r="H160" s="3" t="e">
        <f t="shared" si="14"/>
        <v>#VALUE!</v>
      </c>
      <c r="I160" s="1" t="e">
        <f t="shared" si="11"/>
        <v>#REF!</v>
      </c>
      <c r="J160" s="1" t="e">
        <f>IF(Table15[[#This Row],[Rising Through Threshold]],Table15[[#This Row],[Start time]],J159)</f>
        <v>#REF!</v>
      </c>
      <c r="K160" s="1" t="e">
        <f>IF(AND(Table15[[#This Row],[Rising Through Threshold]],J159&gt;0),J160-J159,"")</f>
        <v>#REF!</v>
      </c>
    </row>
    <row r="161" spans="1:11" x14ac:dyDescent="0.45">
      <c r="A161" s="1" t="s">
        <v>179</v>
      </c>
      <c r="B161" s="1">
        <f t="shared" si="13"/>
        <v>6</v>
      </c>
      <c r="C161" s="1">
        <f t="shared" si="12"/>
        <v>12</v>
      </c>
      <c r="D161" s="1">
        <f t="shared" si="12"/>
        <v>17</v>
      </c>
      <c r="E161" s="1" t="e">
        <f t="shared" si="12"/>
        <v>#VALUE!</v>
      </c>
      <c r="F161" s="3">
        <f>'Data In'!C167</f>
        <v>3.1</v>
      </c>
      <c r="G161" s="4" t="str">
        <f>'Data In'!D167</f>
        <v>a</v>
      </c>
      <c r="H161" s="3" t="e">
        <f t="shared" si="14"/>
        <v>#VALUE!</v>
      </c>
      <c r="I161" s="1" t="e">
        <f t="shared" si="11"/>
        <v>#REF!</v>
      </c>
      <c r="J161" s="1" t="e">
        <f>IF(Table15[[#This Row],[Rising Through Threshold]],Table15[[#This Row],[Start time]],J160)</f>
        <v>#REF!</v>
      </c>
      <c r="K161" s="1" t="e">
        <f>IF(AND(Table15[[#This Row],[Rising Through Threshold]],J160&gt;0),J161-J160,"")</f>
        <v>#REF!</v>
      </c>
    </row>
    <row r="162" spans="1:11" x14ac:dyDescent="0.45">
      <c r="A162" s="1" t="s">
        <v>180</v>
      </c>
      <c r="B162" s="1">
        <f t="shared" si="13"/>
        <v>6</v>
      </c>
      <c r="C162" s="1">
        <f t="shared" si="12"/>
        <v>12</v>
      </c>
      <c r="D162" s="1">
        <f t="shared" si="12"/>
        <v>17</v>
      </c>
      <c r="E162" s="1" t="e">
        <f t="shared" si="12"/>
        <v>#VALUE!</v>
      </c>
      <c r="F162" s="3">
        <f>'Data In'!C168</f>
        <v>3.24</v>
      </c>
      <c r="G162" s="4" t="str">
        <f>'Data In'!D168</f>
        <v>a</v>
      </c>
      <c r="H162" s="3" t="e">
        <f t="shared" si="14"/>
        <v>#VALUE!</v>
      </c>
      <c r="I162" s="1" t="e">
        <f t="shared" si="11"/>
        <v>#REF!</v>
      </c>
      <c r="J162" s="1" t="e">
        <f>IF(Table15[[#This Row],[Rising Through Threshold]],Table15[[#This Row],[Start time]],J161)</f>
        <v>#REF!</v>
      </c>
      <c r="K162" s="1" t="e">
        <f>IF(AND(Table15[[#This Row],[Rising Through Threshold]],J161&gt;0),J162-J161,"")</f>
        <v>#REF!</v>
      </c>
    </row>
    <row r="163" spans="1:11" x14ac:dyDescent="0.45">
      <c r="A163" s="1" t="s">
        <v>181</v>
      </c>
      <c r="B163" s="1">
        <f t="shared" si="13"/>
        <v>6</v>
      </c>
      <c r="C163" s="1">
        <f t="shared" si="12"/>
        <v>12</v>
      </c>
      <c r="D163" s="1">
        <f t="shared" si="12"/>
        <v>17</v>
      </c>
      <c r="E163" s="1" t="e">
        <f t="shared" si="12"/>
        <v>#VALUE!</v>
      </c>
      <c r="F163" s="3">
        <f>'Data In'!C169</f>
        <v>3.37</v>
      </c>
      <c r="G163" s="4" t="str">
        <f>'Data In'!D169</f>
        <v>a</v>
      </c>
      <c r="H163" s="3" t="e">
        <f t="shared" si="14"/>
        <v>#VALUE!</v>
      </c>
      <c r="I163" s="1" t="e">
        <f t="shared" si="11"/>
        <v>#REF!</v>
      </c>
      <c r="J163" s="1" t="e">
        <f>IF(Table15[[#This Row],[Rising Through Threshold]],Table15[[#This Row],[Start time]],J162)</f>
        <v>#REF!</v>
      </c>
      <c r="K163" s="1" t="e">
        <f>IF(AND(Table15[[#This Row],[Rising Through Threshold]],J162&gt;0),J163-J162,"")</f>
        <v>#REF!</v>
      </c>
    </row>
    <row r="164" spans="1:11" x14ac:dyDescent="0.45">
      <c r="A164" s="1" t="s">
        <v>182</v>
      </c>
      <c r="B164" s="1">
        <f t="shared" si="13"/>
        <v>6</v>
      </c>
      <c r="C164" s="1">
        <f t="shared" si="12"/>
        <v>12</v>
      </c>
      <c r="D164" s="1">
        <f t="shared" si="12"/>
        <v>17</v>
      </c>
      <c r="E164" s="1" t="e">
        <f t="shared" si="12"/>
        <v>#VALUE!</v>
      </c>
      <c r="F164" s="3">
        <f>'Data In'!C170</f>
        <v>3.47</v>
      </c>
      <c r="G164" s="4" t="str">
        <f>'Data In'!D170</f>
        <v>a</v>
      </c>
      <c r="H164" s="3" t="e">
        <f t="shared" si="14"/>
        <v>#VALUE!</v>
      </c>
      <c r="I164" s="1" t="e">
        <f t="shared" si="11"/>
        <v>#REF!</v>
      </c>
      <c r="J164" s="1" t="e">
        <f>IF(Table15[[#This Row],[Rising Through Threshold]],Table15[[#This Row],[Start time]],J163)</f>
        <v>#REF!</v>
      </c>
      <c r="K164" s="1" t="e">
        <f>IF(AND(Table15[[#This Row],[Rising Through Threshold]],J163&gt;0),J164-J163,"")</f>
        <v>#REF!</v>
      </c>
    </row>
    <row r="165" spans="1:11" x14ac:dyDescent="0.45">
      <c r="A165" s="1" t="s">
        <v>183</v>
      </c>
      <c r="B165" s="1">
        <f t="shared" si="13"/>
        <v>6</v>
      </c>
      <c r="C165" s="1">
        <f t="shared" si="12"/>
        <v>12</v>
      </c>
      <c r="D165" s="1">
        <f t="shared" si="12"/>
        <v>17</v>
      </c>
      <c r="E165" s="1" t="e">
        <f t="shared" si="12"/>
        <v>#VALUE!</v>
      </c>
      <c r="F165" s="3">
        <f>'Data In'!C171</f>
        <v>3.57</v>
      </c>
      <c r="G165" s="4" t="str">
        <f>'Data In'!D171</f>
        <v>a</v>
      </c>
      <c r="H165" s="3" t="e">
        <f t="shared" si="14"/>
        <v>#VALUE!</v>
      </c>
      <c r="I165" s="1" t="e">
        <f t="shared" si="11"/>
        <v>#REF!</v>
      </c>
      <c r="J165" s="1" t="e">
        <f>IF(Table15[[#This Row],[Rising Through Threshold]],Table15[[#This Row],[Start time]],J164)</f>
        <v>#REF!</v>
      </c>
      <c r="K165" s="1" t="e">
        <f>IF(AND(Table15[[#This Row],[Rising Through Threshold]],J164&gt;0),J165-J164,"")</f>
        <v>#REF!</v>
      </c>
    </row>
    <row r="166" spans="1:11" x14ac:dyDescent="0.45">
      <c r="A166" s="1" t="s">
        <v>184</v>
      </c>
      <c r="B166" s="1">
        <f t="shared" si="13"/>
        <v>6</v>
      </c>
      <c r="C166" s="1">
        <f t="shared" si="12"/>
        <v>12</v>
      </c>
      <c r="D166" s="1">
        <f t="shared" si="12"/>
        <v>17</v>
      </c>
      <c r="E166" s="1" t="e">
        <f t="shared" si="12"/>
        <v>#VALUE!</v>
      </c>
      <c r="F166" s="3">
        <f>'Data In'!C172</f>
        <v>3.65</v>
      </c>
      <c r="G166" s="4" t="str">
        <f>'Data In'!D172</f>
        <v>a</v>
      </c>
      <c r="H166" s="3" t="e">
        <f t="shared" si="14"/>
        <v>#VALUE!</v>
      </c>
      <c r="I166" s="1" t="e">
        <f t="shared" si="11"/>
        <v>#REF!</v>
      </c>
      <c r="J166" s="1" t="e">
        <f>IF(Table15[[#This Row],[Rising Through Threshold]],Table15[[#This Row],[Start time]],J165)</f>
        <v>#REF!</v>
      </c>
      <c r="K166" s="1" t="e">
        <f>IF(AND(Table15[[#This Row],[Rising Through Threshold]],J165&gt;0),J166-J165,"")</f>
        <v>#REF!</v>
      </c>
    </row>
    <row r="167" spans="1:11" x14ac:dyDescent="0.45">
      <c r="A167" s="1" t="s">
        <v>185</v>
      </c>
      <c r="B167" s="1">
        <f t="shared" si="13"/>
        <v>6</v>
      </c>
      <c r="C167" s="1">
        <f t="shared" si="12"/>
        <v>12</v>
      </c>
      <c r="D167" s="1">
        <f t="shared" si="12"/>
        <v>17</v>
      </c>
      <c r="E167" s="1" t="e">
        <f t="shared" si="12"/>
        <v>#VALUE!</v>
      </c>
      <c r="F167" s="3">
        <f>'Data In'!C173</f>
        <v>3.71</v>
      </c>
      <c r="G167" s="4" t="str">
        <f>'Data In'!D173</f>
        <v>a</v>
      </c>
      <c r="H167" s="3" t="e">
        <f t="shared" si="14"/>
        <v>#VALUE!</v>
      </c>
      <c r="I167" s="1" t="e">
        <f t="shared" si="11"/>
        <v>#REF!</v>
      </c>
      <c r="J167" s="1" t="e">
        <f>IF(Table15[[#This Row],[Rising Through Threshold]],Table15[[#This Row],[Start time]],J166)</f>
        <v>#REF!</v>
      </c>
      <c r="K167" s="1" t="e">
        <f>IF(AND(Table15[[#This Row],[Rising Through Threshold]],J166&gt;0),J167-J166,"")</f>
        <v>#REF!</v>
      </c>
    </row>
    <row r="168" spans="1:11" x14ac:dyDescent="0.45">
      <c r="A168" s="1" t="s">
        <v>186</v>
      </c>
      <c r="B168" s="1">
        <f t="shared" si="13"/>
        <v>6</v>
      </c>
      <c r="C168" s="1">
        <f t="shared" si="12"/>
        <v>12</v>
      </c>
      <c r="D168" s="1">
        <f t="shared" si="12"/>
        <v>17</v>
      </c>
      <c r="E168" s="1" t="e">
        <f t="shared" si="12"/>
        <v>#VALUE!</v>
      </c>
      <c r="F168" s="3">
        <f>'Data In'!C174</f>
        <v>3.73</v>
      </c>
      <c r="G168" s="4" t="str">
        <f>'Data In'!D174</f>
        <v>a</v>
      </c>
      <c r="H168" s="3" t="e">
        <f t="shared" si="14"/>
        <v>#VALUE!</v>
      </c>
      <c r="I168" s="1" t="e">
        <f t="shared" si="11"/>
        <v>#REF!</v>
      </c>
      <c r="J168" s="1" t="e">
        <f>IF(Table15[[#This Row],[Rising Through Threshold]],Table15[[#This Row],[Start time]],J167)</f>
        <v>#REF!</v>
      </c>
      <c r="K168" s="1" t="e">
        <f>IF(AND(Table15[[#This Row],[Rising Through Threshold]],J167&gt;0),J168-J167,"")</f>
        <v>#REF!</v>
      </c>
    </row>
    <row r="169" spans="1:11" x14ac:dyDescent="0.45">
      <c r="A169" s="1" t="s">
        <v>187</v>
      </c>
      <c r="B169" s="1">
        <f t="shared" si="13"/>
        <v>6</v>
      </c>
      <c r="C169" s="1">
        <f t="shared" si="12"/>
        <v>12</v>
      </c>
      <c r="D169" s="1">
        <f t="shared" si="12"/>
        <v>17</v>
      </c>
      <c r="E169" s="1" t="e">
        <f t="shared" si="12"/>
        <v>#VALUE!</v>
      </c>
      <c r="F169" s="3">
        <f>'Data In'!C175</f>
        <v>3.67</v>
      </c>
      <c r="G169" s="4" t="str">
        <f>'Data In'!D175</f>
        <v>a</v>
      </c>
      <c r="H169" s="3" t="e">
        <f t="shared" si="14"/>
        <v>#VALUE!</v>
      </c>
      <c r="I169" s="1" t="e">
        <f t="shared" si="11"/>
        <v>#REF!</v>
      </c>
      <c r="J169" s="1" t="e">
        <f>IF(Table15[[#This Row],[Rising Through Threshold]],Table15[[#This Row],[Start time]],J168)</f>
        <v>#REF!</v>
      </c>
      <c r="K169" s="1" t="e">
        <f>IF(AND(Table15[[#This Row],[Rising Through Threshold]],J168&gt;0),J169-J168,"")</f>
        <v>#REF!</v>
      </c>
    </row>
    <row r="170" spans="1:11" x14ac:dyDescent="0.45">
      <c r="A170" s="1" t="s">
        <v>188</v>
      </c>
      <c r="B170" s="1">
        <f t="shared" si="13"/>
        <v>6</v>
      </c>
      <c r="C170" s="1">
        <f t="shared" si="12"/>
        <v>12</v>
      </c>
      <c r="D170" s="1">
        <f t="shared" si="12"/>
        <v>17</v>
      </c>
      <c r="E170" s="1" t="e">
        <f t="shared" si="12"/>
        <v>#VALUE!</v>
      </c>
      <c r="F170" s="3">
        <f>'Data In'!C176</f>
        <v>3.51</v>
      </c>
      <c r="G170" s="4" t="str">
        <f>'Data In'!D176</f>
        <v>a</v>
      </c>
      <c r="H170" s="3" t="e">
        <f t="shared" si="14"/>
        <v>#VALUE!</v>
      </c>
      <c r="I170" s="1" t="e">
        <f t="shared" si="11"/>
        <v>#REF!</v>
      </c>
      <c r="J170" s="1" t="e">
        <f>IF(Table15[[#This Row],[Rising Through Threshold]],Table15[[#This Row],[Start time]],J169)</f>
        <v>#REF!</v>
      </c>
      <c r="K170" s="1" t="e">
        <f>IF(AND(Table15[[#This Row],[Rising Through Threshold]],J169&gt;0),J170-J169,"")</f>
        <v>#REF!</v>
      </c>
    </row>
    <row r="171" spans="1:11" x14ac:dyDescent="0.45">
      <c r="A171" s="1" t="s">
        <v>189</v>
      </c>
      <c r="B171" s="1">
        <f t="shared" si="13"/>
        <v>6</v>
      </c>
      <c r="C171" s="1">
        <f t="shared" si="12"/>
        <v>12</v>
      </c>
      <c r="D171" s="1">
        <f t="shared" si="12"/>
        <v>17</v>
      </c>
      <c r="E171" s="1" t="e">
        <f t="shared" si="12"/>
        <v>#VALUE!</v>
      </c>
      <c r="F171" s="3">
        <f>'Data In'!C177</f>
        <v>3.16</v>
      </c>
      <c r="G171" s="4" t="str">
        <f>'Data In'!D177</f>
        <v>a</v>
      </c>
      <c r="H171" s="3" t="e">
        <f t="shared" si="14"/>
        <v>#VALUE!</v>
      </c>
      <c r="I171" s="1" t="e">
        <f t="shared" si="11"/>
        <v>#REF!</v>
      </c>
      <c r="J171" s="1" t="e">
        <f>IF(Table15[[#This Row],[Rising Through Threshold]],Table15[[#This Row],[Start time]],J170)</f>
        <v>#REF!</v>
      </c>
      <c r="K171" s="1" t="e">
        <f>IF(AND(Table15[[#This Row],[Rising Through Threshold]],J170&gt;0),J171-J170,"")</f>
        <v>#REF!</v>
      </c>
    </row>
    <row r="172" spans="1:11" x14ac:dyDescent="0.45">
      <c r="A172" s="1" t="s">
        <v>190</v>
      </c>
      <c r="B172" s="1">
        <f t="shared" si="13"/>
        <v>6</v>
      </c>
      <c r="C172" s="1">
        <f t="shared" si="12"/>
        <v>12</v>
      </c>
      <c r="D172" s="1">
        <f t="shared" si="12"/>
        <v>17</v>
      </c>
      <c r="E172" s="1" t="e">
        <f t="shared" si="12"/>
        <v>#VALUE!</v>
      </c>
      <c r="F172" s="3">
        <f>'Data In'!C178</f>
        <v>2.61</v>
      </c>
      <c r="G172" s="4" t="str">
        <f>'Data In'!D178</f>
        <v>a</v>
      </c>
      <c r="H172" s="3" t="e">
        <f t="shared" si="14"/>
        <v>#VALUE!</v>
      </c>
      <c r="I172" s="1" t="e">
        <f t="shared" si="11"/>
        <v>#REF!</v>
      </c>
      <c r="J172" s="1" t="e">
        <f>IF(Table15[[#This Row],[Rising Through Threshold]],Table15[[#This Row],[Start time]],J171)</f>
        <v>#REF!</v>
      </c>
      <c r="K172" s="1" t="e">
        <f>IF(AND(Table15[[#This Row],[Rising Through Threshold]],J171&gt;0),J172-J171,"")</f>
        <v>#REF!</v>
      </c>
    </row>
    <row r="173" spans="1:11" x14ac:dyDescent="0.45">
      <c r="A173" s="1" t="s">
        <v>191</v>
      </c>
      <c r="B173" s="1">
        <f t="shared" si="13"/>
        <v>6</v>
      </c>
      <c r="C173" s="1">
        <f t="shared" si="12"/>
        <v>12</v>
      </c>
      <c r="D173" s="1">
        <f t="shared" si="12"/>
        <v>17</v>
      </c>
      <c r="E173" s="1" t="e">
        <f t="shared" si="12"/>
        <v>#VALUE!</v>
      </c>
      <c r="F173" s="3">
        <f>'Data In'!C179</f>
        <v>1.92</v>
      </c>
      <c r="G173" s="4" t="str">
        <f>'Data In'!D179</f>
        <v>a</v>
      </c>
      <c r="H173" s="3" t="e">
        <f t="shared" si="14"/>
        <v>#VALUE!</v>
      </c>
      <c r="I173" s="1" t="e">
        <f t="shared" ref="I173:I236" si="15">AND(G172&lt;Threshold,G173&gt;Threshold)</f>
        <v>#REF!</v>
      </c>
      <c r="J173" s="1" t="e">
        <f>IF(Table15[[#This Row],[Rising Through Threshold]],Table15[[#This Row],[Start time]],J172)</f>
        <v>#REF!</v>
      </c>
      <c r="K173" s="1" t="e">
        <f>IF(AND(Table15[[#This Row],[Rising Through Threshold]],J172&gt;0),J173-J172,"")</f>
        <v>#REF!</v>
      </c>
    </row>
    <row r="174" spans="1:11" x14ac:dyDescent="0.45">
      <c r="A174" s="1" t="s">
        <v>192</v>
      </c>
      <c r="B174" s="1">
        <f t="shared" si="13"/>
        <v>6</v>
      </c>
      <c r="C174" s="1">
        <f t="shared" si="12"/>
        <v>12</v>
      </c>
      <c r="D174" s="1">
        <f t="shared" si="12"/>
        <v>17</v>
      </c>
      <c r="E174" s="1" t="e">
        <f t="shared" si="12"/>
        <v>#VALUE!</v>
      </c>
      <c r="F174" s="3">
        <f>'Data In'!C180</f>
        <v>1.18</v>
      </c>
      <c r="G174" s="4" t="str">
        <f>'Data In'!D180</f>
        <v>a</v>
      </c>
      <c r="H174" s="3" t="e">
        <f t="shared" si="14"/>
        <v>#VALUE!</v>
      </c>
      <c r="I174" s="1" t="e">
        <f t="shared" si="15"/>
        <v>#REF!</v>
      </c>
      <c r="J174" s="1" t="e">
        <f>IF(Table15[[#This Row],[Rising Through Threshold]],Table15[[#This Row],[Start time]],J173)</f>
        <v>#REF!</v>
      </c>
      <c r="K174" s="1" t="e">
        <f>IF(AND(Table15[[#This Row],[Rising Through Threshold]],J173&gt;0),J174-J173,"")</f>
        <v>#REF!</v>
      </c>
    </row>
    <row r="175" spans="1:11" x14ac:dyDescent="0.45">
      <c r="A175" s="1" t="s">
        <v>193</v>
      </c>
      <c r="B175" s="1">
        <f t="shared" si="13"/>
        <v>6</v>
      </c>
      <c r="C175" s="1">
        <f t="shared" si="12"/>
        <v>12</v>
      </c>
      <c r="D175" s="1">
        <f t="shared" si="12"/>
        <v>17</v>
      </c>
      <c r="E175" s="1" t="e">
        <f t="shared" si="12"/>
        <v>#VALUE!</v>
      </c>
      <c r="F175" s="3">
        <f>'Data In'!C181</f>
        <v>0.53</v>
      </c>
      <c r="G175" s="4" t="str">
        <f>'Data In'!D181</f>
        <v>a</v>
      </c>
      <c r="H175" s="3" t="e">
        <f t="shared" si="14"/>
        <v>#VALUE!</v>
      </c>
      <c r="I175" s="1" t="e">
        <f t="shared" si="15"/>
        <v>#REF!</v>
      </c>
      <c r="J175" s="1" t="e">
        <f>IF(Table15[[#This Row],[Rising Through Threshold]],Table15[[#This Row],[Start time]],J174)</f>
        <v>#REF!</v>
      </c>
      <c r="K175" s="1" t="e">
        <f>IF(AND(Table15[[#This Row],[Rising Through Threshold]],J174&gt;0),J175-J174,"")</f>
        <v>#REF!</v>
      </c>
    </row>
    <row r="176" spans="1:11" x14ac:dyDescent="0.45">
      <c r="A176" s="1" t="s">
        <v>194</v>
      </c>
      <c r="B176" s="1">
        <f t="shared" si="13"/>
        <v>6</v>
      </c>
      <c r="C176" s="1">
        <f t="shared" si="12"/>
        <v>12</v>
      </c>
      <c r="D176" s="1">
        <f t="shared" si="12"/>
        <v>17</v>
      </c>
      <c r="E176" s="1" t="e">
        <f t="shared" si="12"/>
        <v>#VALUE!</v>
      </c>
      <c r="F176" s="3">
        <f>'Data In'!C182</f>
        <v>0.43</v>
      </c>
      <c r="G176" s="4" t="str">
        <f>'Data In'!D182</f>
        <v>a</v>
      </c>
      <c r="H176" s="3" t="e">
        <f t="shared" si="14"/>
        <v>#VALUE!</v>
      </c>
      <c r="I176" s="1" t="e">
        <f t="shared" si="15"/>
        <v>#REF!</v>
      </c>
      <c r="J176" s="1" t="e">
        <f>IF(Table15[[#This Row],[Rising Through Threshold]],Table15[[#This Row],[Start time]],J175)</f>
        <v>#REF!</v>
      </c>
      <c r="K176" s="1" t="e">
        <f>IF(AND(Table15[[#This Row],[Rising Through Threshold]],J175&gt;0),J176-J175,"")</f>
        <v>#REF!</v>
      </c>
    </row>
    <row r="177" spans="1:11" x14ac:dyDescent="0.45">
      <c r="A177" s="1" t="s">
        <v>195</v>
      </c>
      <c r="B177" s="1">
        <f t="shared" si="13"/>
        <v>6</v>
      </c>
      <c r="C177" s="1">
        <f t="shared" si="12"/>
        <v>12</v>
      </c>
      <c r="D177" s="1">
        <f t="shared" si="12"/>
        <v>17</v>
      </c>
      <c r="E177" s="1" t="e">
        <f t="shared" si="12"/>
        <v>#VALUE!</v>
      </c>
      <c r="F177" s="3">
        <f>'Data In'!C183</f>
        <v>0.47</v>
      </c>
      <c r="G177" s="4" t="str">
        <f>'Data In'!D183</f>
        <v>a</v>
      </c>
      <c r="H177" s="3" t="e">
        <f t="shared" si="14"/>
        <v>#VALUE!</v>
      </c>
      <c r="I177" s="1" t="e">
        <f t="shared" si="15"/>
        <v>#REF!</v>
      </c>
      <c r="J177" s="1" t="e">
        <f>IF(Table15[[#This Row],[Rising Through Threshold]],Table15[[#This Row],[Start time]],J176)</f>
        <v>#REF!</v>
      </c>
      <c r="K177" s="1" t="e">
        <f>IF(AND(Table15[[#This Row],[Rising Through Threshold]],J176&gt;0),J177-J176,"")</f>
        <v>#REF!</v>
      </c>
    </row>
    <row r="178" spans="1:11" x14ac:dyDescent="0.45">
      <c r="A178" s="1" t="s">
        <v>196</v>
      </c>
      <c r="B178" s="1">
        <f t="shared" si="13"/>
        <v>6</v>
      </c>
      <c r="C178" s="1">
        <f t="shared" si="12"/>
        <v>12</v>
      </c>
      <c r="D178" s="1">
        <f t="shared" si="12"/>
        <v>17</v>
      </c>
      <c r="E178" s="1" t="e">
        <f t="shared" si="12"/>
        <v>#VALUE!</v>
      </c>
      <c r="F178" s="3">
        <f>'Data In'!C184</f>
        <v>0.51</v>
      </c>
      <c r="G178" s="4" t="str">
        <f>'Data In'!D184</f>
        <v>a</v>
      </c>
      <c r="H178" s="3" t="e">
        <f t="shared" si="14"/>
        <v>#VALUE!</v>
      </c>
      <c r="I178" s="1" t="e">
        <f t="shared" si="15"/>
        <v>#REF!</v>
      </c>
      <c r="J178" s="1" t="e">
        <f>IF(Table15[[#This Row],[Rising Through Threshold]],Table15[[#This Row],[Start time]],J177)</f>
        <v>#REF!</v>
      </c>
      <c r="K178" s="1" t="e">
        <f>IF(AND(Table15[[#This Row],[Rising Through Threshold]],J177&gt;0),J178-J177,"")</f>
        <v>#REF!</v>
      </c>
    </row>
    <row r="179" spans="1:11" x14ac:dyDescent="0.45">
      <c r="A179" s="1" t="s">
        <v>197</v>
      </c>
      <c r="B179" s="1">
        <f t="shared" si="13"/>
        <v>6</v>
      </c>
      <c r="C179" s="1">
        <f t="shared" si="12"/>
        <v>12</v>
      </c>
      <c r="D179" s="1">
        <f t="shared" si="12"/>
        <v>17</v>
      </c>
      <c r="E179" s="1" t="e">
        <f t="shared" si="12"/>
        <v>#VALUE!</v>
      </c>
      <c r="F179" s="3">
        <f>'Data In'!C185</f>
        <v>0.63</v>
      </c>
      <c r="G179" s="4" t="str">
        <f>'Data In'!D185</f>
        <v>a</v>
      </c>
      <c r="H179" s="3" t="e">
        <f t="shared" si="14"/>
        <v>#VALUE!</v>
      </c>
      <c r="I179" s="1" t="e">
        <f t="shared" si="15"/>
        <v>#REF!</v>
      </c>
      <c r="J179" s="1" t="e">
        <f>IF(Table15[[#This Row],[Rising Through Threshold]],Table15[[#This Row],[Start time]],J178)</f>
        <v>#REF!</v>
      </c>
      <c r="K179" s="1" t="e">
        <f>IF(AND(Table15[[#This Row],[Rising Through Threshold]],J178&gt;0),J179-J178,"")</f>
        <v>#REF!</v>
      </c>
    </row>
    <row r="180" spans="1:11" x14ac:dyDescent="0.45">
      <c r="A180" s="1" t="s">
        <v>198</v>
      </c>
      <c r="B180" s="1">
        <f t="shared" si="13"/>
        <v>6</v>
      </c>
      <c r="C180" s="1">
        <f t="shared" si="12"/>
        <v>12</v>
      </c>
      <c r="D180" s="1">
        <f t="shared" si="12"/>
        <v>17</v>
      </c>
      <c r="E180" s="1" t="e">
        <f t="shared" si="12"/>
        <v>#VALUE!</v>
      </c>
      <c r="F180" s="3">
        <f>'Data In'!C186</f>
        <v>0.82</v>
      </c>
      <c r="G180" s="4" t="str">
        <f>'Data In'!D186</f>
        <v>a</v>
      </c>
      <c r="H180" s="3" t="e">
        <f t="shared" si="14"/>
        <v>#VALUE!</v>
      </c>
      <c r="I180" s="1" t="e">
        <f t="shared" si="15"/>
        <v>#REF!</v>
      </c>
      <c r="J180" s="1" t="e">
        <f>IF(Table15[[#This Row],[Rising Through Threshold]],Table15[[#This Row],[Start time]],J179)</f>
        <v>#REF!</v>
      </c>
      <c r="K180" s="1" t="e">
        <f>IF(AND(Table15[[#This Row],[Rising Through Threshold]],J179&gt;0),J180-J179,"")</f>
        <v>#REF!</v>
      </c>
    </row>
    <row r="181" spans="1:11" x14ac:dyDescent="0.45">
      <c r="A181" s="1" t="s">
        <v>199</v>
      </c>
      <c r="B181" s="1">
        <f t="shared" si="13"/>
        <v>6</v>
      </c>
      <c r="C181" s="1">
        <f t="shared" si="12"/>
        <v>12</v>
      </c>
      <c r="D181" s="1">
        <f t="shared" si="12"/>
        <v>17</v>
      </c>
      <c r="E181" s="1" t="e">
        <f t="shared" si="12"/>
        <v>#VALUE!</v>
      </c>
      <c r="F181" s="3">
        <f>'Data In'!C187</f>
        <v>1.08</v>
      </c>
      <c r="G181" s="4" t="str">
        <f>'Data In'!D187</f>
        <v>a</v>
      </c>
      <c r="H181" s="3" t="e">
        <f t="shared" si="14"/>
        <v>#VALUE!</v>
      </c>
      <c r="I181" s="1" t="e">
        <f t="shared" si="15"/>
        <v>#REF!</v>
      </c>
      <c r="J181" s="1" t="e">
        <f>IF(Table15[[#This Row],[Rising Through Threshold]],Table15[[#This Row],[Start time]],J180)</f>
        <v>#REF!</v>
      </c>
      <c r="K181" s="1" t="e">
        <f>IF(AND(Table15[[#This Row],[Rising Through Threshold]],J180&gt;0),J181-J180,"")</f>
        <v>#REF!</v>
      </c>
    </row>
    <row r="182" spans="1:11" x14ac:dyDescent="0.45">
      <c r="A182" s="1" t="s">
        <v>200</v>
      </c>
      <c r="B182" s="1">
        <f t="shared" si="13"/>
        <v>6</v>
      </c>
      <c r="C182" s="1">
        <f t="shared" si="12"/>
        <v>12</v>
      </c>
      <c r="D182" s="1">
        <f t="shared" si="12"/>
        <v>17</v>
      </c>
      <c r="E182" s="1" t="e">
        <f t="shared" si="12"/>
        <v>#VALUE!</v>
      </c>
      <c r="F182" s="3">
        <f>'Data In'!C188</f>
        <v>1.33</v>
      </c>
      <c r="G182" s="4" t="str">
        <f>'Data In'!D188</f>
        <v>a</v>
      </c>
      <c r="H182" s="3" t="e">
        <f t="shared" si="14"/>
        <v>#VALUE!</v>
      </c>
      <c r="I182" s="1" t="e">
        <f t="shared" si="15"/>
        <v>#REF!</v>
      </c>
      <c r="J182" s="1" t="e">
        <f>IF(Table15[[#This Row],[Rising Through Threshold]],Table15[[#This Row],[Start time]],J181)</f>
        <v>#REF!</v>
      </c>
      <c r="K182" s="1" t="e">
        <f>IF(AND(Table15[[#This Row],[Rising Through Threshold]],J181&gt;0),J182-J181,"")</f>
        <v>#REF!</v>
      </c>
    </row>
    <row r="183" spans="1:11" x14ac:dyDescent="0.45">
      <c r="A183" s="1" t="s">
        <v>201</v>
      </c>
      <c r="B183" s="1">
        <f t="shared" si="13"/>
        <v>6</v>
      </c>
      <c r="C183" s="1">
        <f t="shared" si="12"/>
        <v>12</v>
      </c>
      <c r="D183" s="1">
        <f t="shared" si="12"/>
        <v>17</v>
      </c>
      <c r="E183" s="1" t="e">
        <f t="shared" si="12"/>
        <v>#VALUE!</v>
      </c>
      <c r="F183" s="3">
        <f>'Data In'!C189</f>
        <v>1.61</v>
      </c>
      <c r="G183" s="4" t="str">
        <f>'Data In'!D189</f>
        <v>a</v>
      </c>
      <c r="H183" s="3" t="e">
        <f t="shared" si="14"/>
        <v>#VALUE!</v>
      </c>
      <c r="I183" s="1" t="e">
        <f t="shared" si="15"/>
        <v>#REF!</v>
      </c>
      <c r="J183" s="1" t="e">
        <f>IF(Table15[[#This Row],[Rising Through Threshold]],Table15[[#This Row],[Start time]],J182)</f>
        <v>#REF!</v>
      </c>
      <c r="K183" s="1" t="e">
        <f>IF(AND(Table15[[#This Row],[Rising Through Threshold]],J182&gt;0),J183-J182,"")</f>
        <v>#REF!</v>
      </c>
    </row>
    <row r="184" spans="1:11" x14ac:dyDescent="0.45">
      <c r="A184" s="1" t="s">
        <v>202</v>
      </c>
      <c r="B184" s="1">
        <f t="shared" si="13"/>
        <v>6</v>
      </c>
      <c r="C184" s="1">
        <f t="shared" si="12"/>
        <v>12</v>
      </c>
      <c r="D184" s="1">
        <f t="shared" si="12"/>
        <v>17</v>
      </c>
      <c r="E184" s="1" t="e">
        <f t="shared" si="12"/>
        <v>#VALUE!</v>
      </c>
      <c r="F184" s="3">
        <f>'Data In'!C190</f>
        <v>1.86</v>
      </c>
      <c r="G184" s="4" t="str">
        <f>'Data In'!D190</f>
        <v>a</v>
      </c>
      <c r="H184" s="3" t="e">
        <f t="shared" si="14"/>
        <v>#VALUE!</v>
      </c>
      <c r="I184" s="1" t="e">
        <f t="shared" si="15"/>
        <v>#REF!</v>
      </c>
      <c r="J184" s="1" t="e">
        <f>IF(Table15[[#This Row],[Rising Through Threshold]],Table15[[#This Row],[Start time]],J183)</f>
        <v>#REF!</v>
      </c>
      <c r="K184" s="1" t="e">
        <f>IF(AND(Table15[[#This Row],[Rising Through Threshold]],J183&gt;0),J184-J183,"")</f>
        <v>#REF!</v>
      </c>
    </row>
    <row r="185" spans="1:11" x14ac:dyDescent="0.45">
      <c r="A185" s="1" t="s">
        <v>203</v>
      </c>
      <c r="B185" s="1">
        <f t="shared" si="13"/>
        <v>6</v>
      </c>
      <c r="C185" s="1">
        <f t="shared" si="12"/>
        <v>12</v>
      </c>
      <c r="D185" s="1">
        <f t="shared" si="12"/>
        <v>17</v>
      </c>
      <c r="E185" s="1" t="e">
        <f t="shared" si="12"/>
        <v>#VALUE!</v>
      </c>
      <c r="F185" s="3">
        <f>'Data In'!C191</f>
        <v>2.1</v>
      </c>
      <c r="G185" s="4" t="str">
        <f>'Data In'!D191</f>
        <v>a</v>
      </c>
      <c r="H185" s="3" t="e">
        <f t="shared" si="14"/>
        <v>#VALUE!</v>
      </c>
      <c r="I185" s="1" t="e">
        <f t="shared" si="15"/>
        <v>#REF!</v>
      </c>
      <c r="J185" s="1" t="e">
        <f>IF(Table15[[#This Row],[Rising Through Threshold]],Table15[[#This Row],[Start time]],J184)</f>
        <v>#REF!</v>
      </c>
      <c r="K185" s="1" t="e">
        <f>IF(AND(Table15[[#This Row],[Rising Through Threshold]],J184&gt;0),J185-J184,"")</f>
        <v>#REF!</v>
      </c>
    </row>
    <row r="186" spans="1:11" x14ac:dyDescent="0.45">
      <c r="A186" s="1" t="s">
        <v>204</v>
      </c>
      <c r="B186" s="1">
        <f t="shared" si="13"/>
        <v>6</v>
      </c>
      <c r="C186" s="1">
        <f t="shared" si="12"/>
        <v>12</v>
      </c>
      <c r="D186" s="1">
        <f t="shared" si="12"/>
        <v>17</v>
      </c>
      <c r="E186" s="1" t="e">
        <f t="shared" si="12"/>
        <v>#VALUE!</v>
      </c>
      <c r="F186" s="3">
        <f>'Data In'!C192</f>
        <v>2.33</v>
      </c>
      <c r="G186" s="4" t="str">
        <f>'Data In'!D192</f>
        <v>a</v>
      </c>
      <c r="H186" s="3" t="e">
        <f t="shared" si="14"/>
        <v>#VALUE!</v>
      </c>
      <c r="I186" s="1" t="e">
        <f t="shared" si="15"/>
        <v>#REF!</v>
      </c>
      <c r="J186" s="1" t="e">
        <f>IF(Table15[[#This Row],[Rising Through Threshold]],Table15[[#This Row],[Start time]],J185)</f>
        <v>#REF!</v>
      </c>
      <c r="K186" s="1" t="e">
        <f>IF(AND(Table15[[#This Row],[Rising Through Threshold]],J185&gt;0),J186-J185,"")</f>
        <v>#REF!</v>
      </c>
    </row>
    <row r="187" spans="1:11" x14ac:dyDescent="0.45">
      <c r="A187" s="1" t="s">
        <v>205</v>
      </c>
      <c r="B187" s="1">
        <f t="shared" si="13"/>
        <v>6</v>
      </c>
      <c r="C187" s="1">
        <f t="shared" si="12"/>
        <v>12</v>
      </c>
      <c r="D187" s="1">
        <f t="shared" si="12"/>
        <v>17</v>
      </c>
      <c r="E187" s="1" t="e">
        <f t="shared" si="12"/>
        <v>#VALUE!</v>
      </c>
      <c r="F187" s="3">
        <f>'Data In'!C193</f>
        <v>2.5499999999999998</v>
      </c>
      <c r="G187" s="4" t="str">
        <f>'Data In'!D193</f>
        <v>a</v>
      </c>
      <c r="H187" s="3" t="e">
        <f t="shared" si="14"/>
        <v>#VALUE!</v>
      </c>
      <c r="I187" s="1" t="e">
        <f t="shared" si="15"/>
        <v>#REF!</v>
      </c>
      <c r="J187" s="1" t="e">
        <f>IF(Table15[[#This Row],[Rising Through Threshold]],Table15[[#This Row],[Start time]],J186)</f>
        <v>#REF!</v>
      </c>
      <c r="K187" s="1" t="e">
        <f>IF(AND(Table15[[#This Row],[Rising Through Threshold]],J186&gt;0),J187-J186,"")</f>
        <v>#REF!</v>
      </c>
    </row>
    <row r="188" spans="1:11" x14ac:dyDescent="0.45">
      <c r="A188" s="1" t="s">
        <v>206</v>
      </c>
      <c r="B188" s="1">
        <f t="shared" si="13"/>
        <v>6</v>
      </c>
      <c r="C188" s="1">
        <f t="shared" si="12"/>
        <v>12</v>
      </c>
      <c r="D188" s="1">
        <f t="shared" si="12"/>
        <v>17</v>
      </c>
      <c r="E188" s="1" t="e">
        <f t="shared" si="12"/>
        <v>#VALUE!</v>
      </c>
      <c r="F188" s="3">
        <f>'Data In'!C194</f>
        <v>2.73</v>
      </c>
      <c r="G188" s="4" t="str">
        <f>'Data In'!D194</f>
        <v>a</v>
      </c>
      <c r="H188" s="3" t="e">
        <f t="shared" si="14"/>
        <v>#VALUE!</v>
      </c>
      <c r="I188" s="1" t="e">
        <f t="shared" si="15"/>
        <v>#REF!</v>
      </c>
      <c r="J188" s="1" t="e">
        <f>IF(Table15[[#This Row],[Rising Through Threshold]],Table15[[#This Row],[Start time]],J187)</f>
        <v>#REF!</v>
      </c>
      <c r="K188" s="1" t="e">
        <f>IF(AND(Table15[[#This Row],[Rising Through Threshold]],J187&gt;0),J188-J187,"")</f>
        <v>#REF!</v>
      </c>
    </row>
    <row r="189" spans="1:11" x14ac:dyDescent="0.45">
      <c r="A189" s="1" t="s">
        <v>207</v>
      </c>
      <c r="B189" s="1">
        <f t="shared" si="13"/>
        <v>6</v>
      </c>
      <c r="C189" s="1">
        <f t="shared" si="12"/>
        <v>12</v>
      </c>
      <c r="D189" s="1">
        <f t="shared" si="12"/>
        <v>17</v>
      </c>
      <c r="E189" s="1" t="e">
        <f t="shared" si="12"/>
        <v>#VALUE!</v>
      </c>
      <c r="F189" s="3">
        <f>'Data In'!C195</f>
        <v>2.9</v>
      </c>
      <c r="G189" s="4" t="str">
        <f>'Data In'!D195</f>
        <v>a</v>
      </c>
      <c r="H189" s="3" t="e">
        <f t="shared" si="14"/>
        <v>#VALUE!</v>
      </c>
      <c r="I189" s="1" t="e">
        <f t="shared" si="15"/>
        <v>#REF!</v>
      </c>
      <c r="J189" s="1" t="e">
        <f>IF(Table15[[#This Row],[Rising Through Threshold]],Table15[[#This Row],[Start time]],J188)</f>
        <v>#REF!</v>
      </c>
      <c r="K189" s="1" t="e">
        <f>IF(AND(Table15[[#This Row],[Rising Through Threshold]],J188&gt;0),J189-J188,"")</f>
        <v>#REF!</v>
      </c>
    </row>
    <row r="190" spans="1:11" x14ac:dyDescent="0.45">
      <c r="A190" s="1" t="s">
        <v>208</v>
      </c>
      <c r="B190" s="1">
        <f t="shared" si="13"/>
        <v>6</v>
      </c>
      <c r="C190" s="1">
        <f t="shared" si="12"/>
        <v>12</v>
      </c>
      <c r="D190" s="1">
        <f t="shared" si="12"/>
        <v>17</v>
      </c>
      <c r="E190" s="1" t="e">
        <f t="shared" si="12"/>
        <v>#VALUE!</v>
      </c>
      <c r="F190" s="3">
        <f>'Data In'!C196</f>
        <v>3.06</v>
      </c>
      <c r="G190" s="4" t="str">
        <f>'Data In'!D196</f>
        <v>a</v>
      </c>
      <c r="H190" s="3" t="e">
        <f t="shared" si="14"/>
        <v>#VALUE!</v>
      </c>
      <c r="I190" s="1" t="e">
        <f t="shared" si="15"/>
        <v>#REF!</v>
      </c>
      <c r="J190" s="1" t="e">
        <f>IF(Table15[[#This Row],[Rising Through Threshold]],Table15[[#This Row],[Start time]],J189)</f>
        <v>#REF!</v>
      </c>
      <c r="K190" s="1" t="e">
        <f>IF(AND(Table15[[#This Row],[Rising Through Threshold]],J189&gt;0),J190-J189,"")</f>
        <v>#REF!</v>
      </c>
    </row>
    <row r="191" spans="1:11" x14ac:dyDescent="0.45">
      <c r="A191" s="1" t="s">
        <v>209</v>
      </c>
      <c r="B191" s="1">
        <f t="shared" si="13"/>
        <v>6</v>
      </c>
      <c r="C191" s="1">
        <f t="shared" si="12"/>
        <v>12</v>
      </c>
      <c r="D191" s="1">
        <f t="shared" si="12"/>
        <v>17</v>
      </c>
      <c r="E191" s="1" t="e">
        <f t="shared" si="12"/>
        <v>#VALUE!</v>
      </c>
      <c r="F191" s="3">
        <f>'Data In'!C197</f>
        <v>3.2</v>
      </c>
      <c r="G191" s="4" t="str">
        <f>'Data In'!D197</f>
        <v>a</v>
      </c>
      <c r="H191" s="3" t="e">
        <f t="shared" si="14"/>
        <v>#VALUE!</v>
      </c>
      <c r="I191" s="1" t="e">
        <f t="shared" si="15"/>
        <v>#REF!</v>
      </c>
      <c r="J191" s="1" t="e">
        <f>IF(Table15[[#This Row],[Rising Through Threshold]],Table15[[#This Row],[Start time]],J190)</f>
        <v>#REF!</v>
      </c>
      <c r="K191" s="1" t="e">
        <f>IF(AND(Table15[[#This Row],[Rising Through Threshold]],J190&gt;0),J191-J190,"")</f>
        <v>#REF!</v>
      </c>
    </row>
    <row r="192" spans="1:11" x14ac:dyDescent="0.45">
      <c r="A192" s="1" t="s">
        <v>210</v>
      </c>
      <c r="B192" s="1">
        <f t="shared" si="13"/>
        <v>6</v>
      </c>
      <c r="C192" s="1">
        <f t="shared" ref="C192:E255" si="16">FIND(":",$A192,B192+1)</f>
        <v>12</v>
      </c>
      <c r="D192" s="1">
        <f t="shared" si="16"/>
        <v>17</v>
      </c>
      <c r="E192" s="1" t="e">
        <f t="shared" si="16"/>
        <v>#VALUE!</v>
      </c>
      <c r="F192" s="3">
        <f>'Data In'!C198</f>
        <v>3.33</v>
      </c>
      <c r="G192" s="4" t="str">
        <f>'Data In'!D198</f>
        <v>a</v>
      </c>
      <c r="H192" s="3" t="e">
        <f t="shared" si="14"/>
        <v>#VALUE!</v>
      </c>
      <c r="I192" s="1" t="e">
        <f t="shared" si="15"/>
        <v>#REF!</v>
      </c>
      <c r="J192" s="1" t="e">
        <f>IF(Table15[[#This Row],[Rising Through Threshold]],Table15[[#This Row],[Start time]],J191)</f>
        <v>#REF!</v>
      </c>
      <c r="K192" s="1" t="e">
        <f>IF(AND(Table15[[#This Row],[Rising Through Threshold]],J191&gt;0),J192-J191,"")</f>
        <v>#REF!</v>
      </c>
    </row>
    <row r="193" spans="1:11" x14ac:dyDescent="0.45">
      <c r="A193" s="1" t="s">
        <v>211</v>
      </c>
      <c r="B193" s="1">
        <f t="shared" si="13"/>
        <v>6</v>
      </c>
      <c r="C193" s="1">
        <f t="shared" si="16"/>
        <v>12</v>
      </c>
      <c r="D193" s="1">
        <f t="shared" si="16"/>
        <v>17</v>
      </c>
      <c r="E193" s="1" t="e">
        <f t="shared" si="16"/>
        <v>#VALUE!</v>
      </c>
      <c r="F193" s="3">
        <f>'Data In'!C199</f>
        <v>3.45</v>
      </c>
      <c r="G193" s="4" t="str">
        <f>'Data In'!D199</f>
        <v>a</v>
      </c>
      <c r="H193" s="3" t="e">
        <f t="shared" si="14"/>
        <v>#VALUE!</v>
      </c>
      <c r="I193" s="1" t="e">
        <f t="shared" si="15"/>
        <v>#REF!</v>
      </c>
      <c r="J193" s="1" t="e">
        <f>IF(Table15[[#This Row],[Rising Through Threshold]],Table15[[#This Row],[Start time]],J192)</f>
        <v>#REF!</v>
      </c>
      <c r="K193" s="1" t="e">
        <f>IF(AND(Table15[[#This Row],[Rising Through Threshold]],J192&gt;0),J193-J192,"")</f>
        <v>#REF!</v>
      </c>
    </row>
    <row r="194" spans="1:11" x14ac:dyDescent="0.45">
      <c r="A194" s="1" t="s">
        <v>212</v>
      </c>
      <c r="B194" s="1">
        <f t="shared" si="13"/>
        <v>6</v>
      </c>
      <c r="C194" s="1">
        <f t="shared" si="16"/>
        <v>12</v>
      </c>
      <c r="D194" s="1">
        <f t="shared" si="16"/>
        <v>17</v>
      </c>
      <c r="E194" s="1" t="e">
        <f t="shared" si="16"/>
        <v>#VALUE!</v>
      </c>
      <c r="F194" s="3">
        <f>'Data In'!C200</f>
        <v>3.55</v>
      </c>
      <c r="G194" s="4" t="str">
        <f>'Data In'!D200</f>
        <v>a</v>
      </c>
      <c r="H194" s="3" t="e">
        <f t="shared" si="14"/>
        <v>#VALUE!</v>
      </c>
      <c r="I194" s="1" t="e">
        <f t="shared" si="15"/>
        <v>#REF!</v>
      </c>
      <c r="J194" s="1" t="e">
        <f>IF(Table15[[#This Row],[Rising Through Threshold]],Table15[[#This Row],[Start time]],J193)</f>
        <v>#REF!</v>
      </c>
      <c r="K194" s="1" t="e">
        <f>IF(AND(Table15[[#This Row],[Rising Through Threshold]],J193&gt;0),J194-J193,"")</f>
        <v>#REF!</v>
      </c>
    </row>
    <row r="195" spans="1:11" x14ac:dyDescent="0.45">
      <c r="A195" s="1" t="s">
        <v>213</v>
      </c>
      <c r="B195" s="1">
        <f t="shared" ref="B195:B258" si="17">FIND(":",$A195,1)</f>
        <v>6</v>
      </c>
      <c r="C195" s="1">
        <f t="shared" si="16"/>
        <v>12</v>
      </c>
      <c r="D195" s="1">
        <f t="shared" si="16"/>
        <v>17</v>
      </c>
      <c r="E195" s="1" t="e">
        <f t="shared" si="16"/>
        <v>#VALUE!</v>
      </c>
      <c r="F195" s="3">
        <f>'Data In'!C201</f>
        <v>3.63</v>
      </c>
      <c r="G195" s="4" t="str">
        <f>'Data In'!D201</f>
        <v>a</v>
      </c>
      <c r="H195" s="3" t="e">
        <f t="shared" ref="H195:H258" si="18">_xlfn.NUMBERVALUE(MID($A195,E195+1,1000))</f>
        <v>#VALUE!</v>
      </c>
      <c r="I195" s="1" t="e">
        <f t="shared" si="15"/>
        <v>#REF!</v>
      </c>
      <c r="J195" s="1" t="e">
        <f>IF(Table15[[#This Row],[Rising Through Threshold]],Table15[[#This Row],[Start time]],J194)</f>
        <v>#REF!</v>
      </c>
      <c r="K195" s="1" t="e">
        <f>IF(AND(Table15[[#This Row],[Rising Through Threshold]],J194&gt;0),J195-J194,"")</f>
        <v>#REF!</v>
      </c>
    </row>
    <row r="196" spans="1:11" x14ac:dyDescent="0.45">
      <c r="A196" s="1" t="s">
        <v>214</v>
      </c>
      <c r="B196" s="1">
        <f t="shared" si="17"/>
        <v>6</v>
      </c>
      <c r="C196" s="1">
        <f t="shared" si="16"/>
        <v>12</v>
      </c>
      <c r="D196" s="1">
        <f t="shared" si="16"/>
        <v>17</v>
      </c>
      <c r="E196" s="1" t="e">
        <f t="shared" si="16"/>
        <v>#VALUE!</v>
      </c>
      <c r="F196" s="3">
        <f>'Data In'!C202</f>
        <v>3.69</v>
      </c>
      <c r="G196" s="4" t="str">
        <f>'Data In'!D202</f>
        <v>a</v>
      </c>
      <c r="H196" s="3" t="e">
        <f t="shared" si="18"/>
        <v>#VALUE!</v>
      </c>
      <c r="I196" s="1" t="e">
        <f t="shared" si="15"/>
        <v>#REF!</v>
      </c>
      <c r="J196" s="1" t="e">
        <f>IF(Table15[[#This Row],[Rising Through Threshold]],Table15[[#This Row],[Start time]],J195)</f>
        <v>#REF!</v>
      </c>
      <c r="K196" s="1" t="e">
        <f>IF(AND(Table15[[#This Row],[Rising Through Threshold]],J195&gt;0),J196-J195,"")</f>
        <v>#REF!</v>
      </c>
    </row>
    <row r="197" spans="1:11" x14ac:dyDescent="0.45">
      <c r="A197" s="1" t="s">
        <v>215</v>
      </c>
      <c r="B197" s="1">
        <f t="shared" si="17"/>
        <v>6</v>
      </c>
      <c r="C197" s="1">
        <f t="shared" si="16"/>
        <v>12</v>
      </c>
      <c r="D197" s="1">
        <f t="shared" si="16"/>
        <v>17</v>
      </c>
      <c r="E197" s="1" t="e">
        <f t="shared" si="16"/>
        <v>#VALUE!</v>
      </c>
      <c r="F197" s="3">
        <f>'Data In'!C203</f>
        <v>3.73</v>
      </c>
      <c r="G197" s="4" t="str">
        <f>'Data In'!D203</f>
        <v>a</v>
      </c>
      <c r="H197" s="3" t="e">
        <f t="shared" si="18"/>
        <v>#VALUE!</v>
      </c>
      <c r="I197" s="1" t="e">
        <f t="shared" si="15"/>
        <v>#REF!</v>
      </c>
      <c r="J197" s="1" t="e">
        <f>IF(Table15[[#This Row],[Rising Through Threshold]],Table15[[#This Row],[Start time]],J196)</f>
        <v>#REF!</v>
      </c>
      <c r="K197" s="1" t="e">
        <f>IF(AND(Table15[[#This Row],[Rising Through Threshold]],J196&gt;0),J197-J196,"")</f>
        <v>#REF!</v>
      </c>
    </row>
    <row r="198" spans="1:11" x14ac:dyDescent="0.45">
      <c r="A198" s="1" t="s">
        <v>216</v>
      </c>
      <c r="B198" s="1">
        <f t="shared" si="17"/>
        <v>6</v>
      </c>
      <c r="C198" s="1">
        <f t="shared" si="16"/>
        <v>12</v>
      </c>
      <c r="D198" s="1">
        <f t="shared" si="16"/>
        <v>17</v>
      </c>
      <c r="E198" s="1" t="e">
        <f t="shared" si="16"/>
        <v>#VALUE!</v>
      </c>
      <c r="F198" s="3">
        <f>'Data In'!C204</f>
        <v>3.71</v>
      </c>
      <c r="G198" s="4" t="str">
        <f>'Data In'!D204</f>
        <v>a</v>
      </c>
      <c r="H198" s="3" t="e">
        <f t="shared" si="18"/>
        <v>#VALUE!</v>
      </c>
      <c r="I198" s="1" t="e">
        <f t="shared" si="15"/>
        <v>#REF!</v>
      </c>
      <c r="J198" s="1" t="e">
        <f>IF(Table15[[#This Row],[Rising Through Threshold]],Table15[[#This Row],[Start time]],J197)</f>
        <v>#REF!</v>
      </c>
      <c r="K198" s="1" t="e">
        <f>IF(AND(Table15[[#This Row],[Rising Through Threshold]],J197&gt;0),J198-J197,"")</f>
        <v>#REF!</v>
      </c>
    </row>
    <row r="199" spans="1:11" x14ac:dyDescent="0.45">
      <c r="A199" s="1" t="s">
        <v>217</v>
      </c>
      <c r="B199" s="1">
        <f t="shared" si="17"/>
        <v>6</v>
      </c>
      <c r="C199" s="1">
        <f t="shared" si="16"/>
        <v>12</v>
      </c>
      <c r="D199" s="1">
        <f t="shared" si="16"/>
        <v>17</v>
      </c>
      <c r="E199" s="1" t="e">
        <f t="shared" si="16"/>
        <v>#VALUE!</v>
      </c>
      <c r="F199" s="3">
        <f>'Data In'!C205</f>
        <v>3.59</v>
      </c>
      <c r="G199" s="4" t="str">
        <f>'Data In'!D205</f>
        <v>a</v>
      </c>
      <c r="H199" s="3" t="e">
        <f t="shared" si="18"/>
        <v>#VALUE!</v>
      </c>
      <c r="I199" s="1" t="e">
        <f t="shared" si="15"/>
        <v>#REF!</v>
      </c>
      <c r="J199" s="1" t="e">
        <f>IF(Table15[[#This Row],[Rising Through Threshold]],Table15[[#This Row],[Start time]],J198)</f>
        <v>#REF!</v>
      </c>
      <c r="K199" s="1" t="e">
        <f>IF(AND(Table15[[#This Row],[Rising Through Threshold]],J198&gt;0),J199-J198,"")</f>
        <v>#REF!</v>
      </c>
    </row>
    <row r="200" spans="1:11" x14ac:dyDescent="0.45">
      <c r="A200" s="1" t="s">
        <v>218</v>
      </c>
      <c r="B200" s="1">
        <f t="shared" si="17"/>
        <v>6</v>
      </c>
      <c r="C200" s="1">
        <f t="shared" si="16"/>
        <v>12</v>
      </c>
      <c r="D200" s="1">
        <f t="shared" si="16"/>
        <v>17</v>
      </c>
      <c r="E200" s="1" t="e">
        <f t="shared" si="16"/>
        <v>#VALUE!</v>
      </c>
      <c r="F200" s="3">
        <f>'Data In'!C206</f>
        <v>3.31</v>
      </c>
      <c r="G200" s="4" t="str">
        <f>'Data In'!D206</f>
        <v>a</v>
      </c>
      <c r="H200" s="3" t="e">
        <f t="shared" si="18"/>
        <v>#VALUE!</v>
      </c>
      <c r="I200" s="1" t="e">
        <f t="shared" si="15"/>
        <v>#REF!</v>
      </c>
      <c r="J200" s="1" t="e">
        <f>IF(Table15[[#This Row],[Rising Through Threshold]],Table15[[#This Row],[Start time]],J199)</f>
        <v>#REF!</v>
      </c>
      <c r="K200" s="1" t="e">
        <f>IF(AND(Table15[[#This Row],[Rising Through Threshold]],J199&gt;0),J200-J199,"")</f>
        <v>#REF!</v>
      </c>
    </row>
    <row r="201" spans="1:11" x14ac:dyDescent="0.45">
      <c r="A201" s="1" t="s">
        <v>219</v>
      </c>
      <c r="B201" s="1">
        <f t="shared" si="17"/>
        <v>6</v>
      </c>
      <c r="C201" s="1">
        <f t="shared" si="16"/>
        <v>12</v>
      </c>
      <c r="D201" s="1">
        <f t="shared" si="16"/>
        <v>17</v>
      </c>
      <c r="E201" s="1" t="e">
        <f t="shared" si="16"/>
        <v>#VALUE!</v>
      </c>
      <c r="F201" s="3">
        <f>'Data In'!C207</f>
        <v>2.84</v>
      </c>
      <c r="G201" s="4" t="str">
        <f>'Data In'!D207</f>
        <v>a</v>
      </c>
      <c r="H201" s="3" t="e">
        <f t="shared" si="18"/>
        <v>#VALUE!</v>
      </c>
      <c r="I201" s="1" t="e">
        <f t="shared" si="15"/>
        <v>#REF!</v>
      </c>
      <c r="J201" s="1" t="e">
        <f>IF(Table15[[#This Row],[Rising Through Threshold]],Table15[[#This Row],[Start time]],J200)</f>
        <v>#REF!</v>
      </c>
      <c r="K201" s="1" t="e">
        <f>IF(AND(Table15[[#This Row],[Rising Through Threshold]],J200&gt;0),J201-J200,"")</f>
        <v>#REF!</v>
      </c>
    </row>
    <row r="202" spans="1:11" x14ac:dyDescent="0.45">
      <c r="A202" s="1" t="s">
        <v>220</v>
      </c>
      <c r="B202" s="1">
        <f t="shared" si="17"/>
        <v>6</v>
      </c>
      <c r="C202" s="1">
        <f t="shared" si="16"/>
        <v>12</v>
      </c>
      <c r="D202" s="1">
        <f t="shared" si="16"/>
        <v>17</v>
      </c>
      <c r="E202" s="1" t="e">
        <f t="shared" si="16"/>
        <v>#VALUE!</v>
      </c>
      <c r="F202" s="3" t="e">
        <f>'Data In'!#REF!</f>
        <v>#REF!</v>
      </c>
      <c r="G202" s="4" t="e">
        <f>'Data In'!#REF!</f>
        <v>#REF!</v>
      </c>
      <c r="H202" s="3" t="e">
        <f t="shared" si="18"/>
        <v>#VALUE!</v>
      </c>
      <c r="I202" s="1" t="e">
        <f t="shared" si="15"/>
        <v>#REF!</v>
      </c>
      <c r="J202" s="1" t="e">
        <f>IF(Table15[[#This Row],[Rising Through Threshold]],Table15[[#This Row],[Start time]],J201)</f>
        <v>#REF!</v>
      </c>
      <c r="K202" s="1" t="e">
        <f>IF(AND(Table15[[#This Row],[Rising Through Threshold]],J201&gt;0),J202-J201,"")</f>
        <v>#REF!</v>
      </c>
    </row>
    <row r="203" spans="1:11" x14ac:dyDescent="0.45">
      <c r="A203" s="1" t="s">
        <v>221</v>
      </c>
      <c r="B203" s="1">
        <f t="shared" si="17"/>
        <v>6</v>
      </c>
      <c r="C203" s="1">
        <f t="shared" si="16"/>
        <v>12</v>
      </c>
      <c r="D203" s="1">
        <f t="shared" si="16"/>
        <v>17</v>
      </c>
      <c r="E203" s="1" t="e">
        <f t="shared" si="16"/>
        <v>#VALUE!</v>
      </c>
      <c r="F203" s="3" t="e">
        <f>'Data In'!#REF!</f>
        <v>#REF!</v>
      </c>
      <c r="G203" s="4" t="e">
        <f>'Data In'!#REF!</f>
        <v>#REF!</v>
      </c>
      <c r="H203" s="3" t="e">
        <f t="shared" si="18"/>
        <v>#VALUE!</v>
      </c>
      <c r="I203" s="1" t="e">
        <f t="shared" si="15"/>
        <v>#REF!</v>
      </c>
      <c r="J203" s="1" t="e">
        <f>IF(Table15[[#This Row],[Rising Through Threshold]],Table15[[#This Row],[Start time]],J202)</f>
        <v>#REF!</v>
      </c>
      <c r="K203" s="1" t="e">
        <f>IF(AND(Table15[[#This Row],[Rising Through Threshold]],J202&gt;0),J203-J202,"")</f>
        <v>#REF!</v>
      </c>
    </row>
    <row r="204" spans="1:11" x14ac:dyDescent="0.45">
      <c r="A204" s="1" t="s">
        <v>222</v>
      </c>
      <c r="B204" s="1">
        <f t="shared" si="17"/>
        <v>6</v>
      </c>
      <c r="C204" s="1">
        <f t="shared" si="16"/>
        <v>12</v>
      </c>
      <c r="D204" s="1">
        <f t="shared" si="16"/>
        <v>17</v>
      </c>
      <c r="E204" s="1" t="e">
        <f t="shared" si="16"/>
        <v>#VALUE!</v>
      </c>
      <c r="F204" s="3" t="e">
        <f>'Data In'!#REF!</f>
        <v>#REF!</v>
      </c>
      <c r="G204" s="4" t="e">
        <f>'Data In'!#REF!</f>
        <v>#REF!</v>
      </c>
      <c r="H204" s="3" t="e">
        <f t="shared" si="18"/>
        <v>#VALUE!</v>
      </c>
      <c r="I204" s="1" t="e">
        <f t="shared" si="15"/>
        <v>#REF!</v>
      </c>
      <c r="J204" s="1" t="e">
        <f>IF(Table15[[#This Row],[Rising Through Threshold]],Table15[[#This Row],[Start time]],J203)</f>
        <v>#REF!</v>
      </c>
      <c r="K204" s="1" t="e">
        <f>IF(AND(Table15[[#This Row],[Rising Through Threshold]],J203&gt;0),J204-J203,"")</f>
        <v>#REF!</v>
      </c>
    </row>
    <row r="205" spans="1:11" x14ac:dyDescent="0.45">
      <c r="A205" s="1" t="s">
        <v>223</v>
      </c>
      <c r="B205" s="1">
        <f t="shared" si="17"/>
        <v>6</v>
      </c>
      <c r="C205" s="1">
        <f t="shared" si="16"/>
        <v>12</v>
      </c>
      <c r="D205" s="1">
        <f t="shared" si="16"/>
        <v>17</v>
      </c>
      <c r="E205" s="1" t="e">
        <f t="shared" si="16"/>
        <v>#VALUE!</v>
      </c>
      <c r="F205" s="3" t="e">
        <f>'Data In'!#REF!</f>
        <v>#REF!</v>
      </c>
      <c r="G205" s="4" t="e">
        <f>'Data In'!#REF!</f>
        <v>#REF!</v>
      </c>
      <c r="H205" s="3" t="e">
        <f t="shared" si="18"/>
        <v>#VALUE!</v>
      </c>
      <c r="I205" s="1" t="e">
        <f t="shared" si="15"/>
        <v>#REF!</v>
      </c>
      <c r="J205" s="1" t="e">
        <f>IF(Table15[[#This Row],[Rising Through Threshold]],Table15[[#This Row],[Start time]],J204)</f>
        <v>#REF!</v>
      </c>
      <c r="K205" s="1" t="e">
        <f>IF(AND(Table15[[#This Row],[Rising Through Threshold]],J204&gt;0),J205-J204,"")</f>
        <v>#REF!</v>
      </c>
    </row>
    <row r="206" spans="1:11" x14ac:dyDescent="0.45">
      <c r="A206" s="1" t="s">
        <v>224</v>
      </c>
      <c r="B206" s="1">
        <f t="shared" si="17"/>
        <v>6</v>
      </c>
      <c r="C206" s="1">
        <f t="shared" si="16"/>
        <v>12</v>
      </c>
      <c r="D206" s="1">
        <f t="shared" si="16"/>
        <v>17</v>
      </c>
      <c r="E206" s="1" t="e">
        <f t="shared" si="16"/>
        <v>#VALUE!</v>
      </c>
      <c r="F206" s="3" t="e">
        <f>'Data In'!#REF!</f>
        <v>#REF!</v>
      </c>
      <c r="G206" s="4" t="e">
        <f>'Data In'!#REF!</f>
        <v>#REF!</v>
      </c>
      <c r="H206" s="3" t="e">
        <f t="shared" si="18"/>
        <v>#VALUE!</v>
      </c>
      <c r="I206" s="1" t="e">
        <f t="shared" si="15"/>
        <v>#REF!</v>
      </c>
      <c r="J206" s="1" t="e">
        <f>IF(Table15[[#This Row],[Rising Through Threshold]],Table15[[#This Row],[Start time]],J205)</f>
        <v>#REF!</v>
      </c>
      <c r="K206" s="1" t="e">
        <f>IF(AND(Table15[[#This Row],[Rising Through Threshold]],J205&gt;0),J206-J205,"")</f>
        <v>#REF!</v>
      </c>
    </row>
    <row r="207" spans="1:11" x14ac:dyDescent="0.45">
      <c r="A207" s="1" t="s">
        <v>225</v>
      </c>
      <c r="B207" s="1">
        <f t="shared" si="17"/>
        <v>6</v>
      </c>
      <c r="C207" s="1">
        <f t="shared" si="16"/>
        <v>12</v>
      </c>
      <c r="D207" s="1">
        <f t="shared" si="16"/>
        <v>17</v>
      </c>
      <c r="E207" s="1" t="e">
        <f t="shared" si="16"/>
        <v>#VALUE!</v>
      </c>
      <c r="F207" s="3" t="e">
        <f>'Data In'!#REF!</f>
        <v>#REF!</v>
      </c>
      <c r="G207" s="4" t="e">
        <f>'Data In'!#REF!</f>
        <v>#REF!</v>
      </c>
      <c r="H207" s="3" t="e">
        <f t="shared" si="18"/>
        <v>#VALUE!</v>
      </c>
      <c r="I207" s="1" t="e">
        <f t="shared" si="15"/>
        <v>#REF!</v>
      </c>
      <c r="J207" s="1" t="e">
        <f>IF(Table15[[#This Row],[Rising Through Threshold]],Table15[[#This Row],[Start time]],J206)</f>
        <v>#REF!</v>
      </c>
      <c r="K207" s="1" t="e">
        <f>IF(AND(Table15[[#This Row],[Rising Through Threshold]],J206&gt;0),J207-J206,"")</f>
        <v>#REF!</v>
      </c>
    </row>
    <row r="208" spans="1:11" x14ac:dyDescent="0.45">
      <c r="A208" s="1" t="s">
        <v>226</v>
      </c>
      <c r="B208" s="1">
        <f t="shared" si="17"/>
        <v>6</v>
      </c>
      <c r="C208" s="1">
        <f t="shared" si="16"/>
        <v>12</v>
      </c>
      <c r="D208" s="1">
        <f t="shared" si="16"/>
        <v>17</v>
      </c>
      <c r="E208" s="1" t="e">
        <f t="shared" si="16"/>
        <v>#VALUE!</v>
      </c>
      <c r="F208" s="3" t="e">
        <f>'Data In'!#REF!</f>
        <v>#REF!</v>
      </c>
      <c r="G208" s="4" t="e">
        <f>'Data In'!#REF!</f>
        <v>#REF!</v>
      </c>
      <c r="H208" s="3" t="e">
        <f t="shared" si="18"/>
        <v>#VALUE!</v>
      </c>
      <c r="I208" s="1" t="e">
        <f t="shared" si="15"/>
        <v>#REF!</v>
      </c>
      <c r="J208" s="1" t="e">
        <f>IF(Table15[[#This Row],[Rising Through Threshold]],Table15[[#This Row],[Start time]],J207)</f>
        <v>#REF!</v>
      </c>
      <c r="K208" s="1" t="e">
        <f>IF(AND(Table15[[#This Row],[Rising Through Threshold]],J207&gt;0),J208-J207,"")</f>
        <v>#REF!</v>
      </c>
    </row>
    <row r="209" spans="1:11" x14ac:dyDescent="0.45">
      <c r="A209" s="1" t="s">
        <v>227</v>
      </c>
      <c r="B209" s="1">
        <f t="shared" si="17"/>
        <v>6</v>
      </c>
      <c r="C209" s="1">
        <f t="shared" si="16"/>
        <v>12</v>
      </c>
      <c r="D209" s="1">
        <f t="shared" si="16"/>
        <v>17</v>
      </c>
      <c r="E209" s="1" t="e">
        <f t="shared" si="16"/>
        <v>#VALUE!</v>
      </c>
      <c r="F209" s="3" t="e">
        <f>'Data In'!#REF!</f>
        <v>#REF!</v>
      </c>
      <c r="G209" s="4" t="e">
        <f>'Data In'!#REF!</f>
        <v>#REF!</v>
      </c>
      <c r="H209" s="3" t="e">
        <f t="shared" si="18"/>
        <v>#VALUE!</v>
      </c>
      <c r="I209" s="1" t="e">
        <f t="shared" si="15"/>
        <v>#REF!</v>
      </c>
      <c r="J209" s="1" t="e">
        <f>IF(Table15[[#This Row],[Rising Through Threshold]],Table15[[#This Row],[Start time]],J208)</f>
        <v>#REF!</v>
      </c>
      <c r="K209" s="1" t="e">
        <f>IF(AND(Table15[[#This Row],[Rising Through Threshold]],J208&gt;0),J209-J208,"")</f>
        <v>#REF!</v>
      </c>
    </row>
    <row r="210" spans="1:11" x14ac:dyDescent="0.45">
      <c r="A210" s="1" t="s">
        <v>228</v>
      </c>
      <c r="B210" s="1">
        <f t="shared" si="17"/>
        <v>6</v>
      </c>
      <c r="C210" s="1">
        <f t="shared" si="16"/>
        <v>12</v>
      </c>
      <c r="D210" s="1">
        <f t="shared" si="16"/>
        <v>17</v>
      </c>
      <c r="E210" s="1" t="e">
        <f t="shared" si="16"/>
        <v>#VALUE!</v>
      </c>
      <c r="F210" s="3" t="e">
        <f>'Data In'!#REF!</f>
        <v>#REF!</v>
      </c>
      <c r="G210" s="4" t="e">
        <f>'Data In'!#REF!</f>
        <v>#REF!</v>
      </c>
      <c r="H210" s="3" t="e">
        <f t="shared" si="18"/>
        <v>#VALUE!</v>
      </c>
      <c r="I210" s="1" t="e">
        <f t="shared" si="15"/>
        <v>#REF!</v>
      </c>
      <c r="J210" s="1" t="e">
        <f>IF(Table15[[#This Row],[Rising Through Threshold]],Table15[[#This Row],[Start time]],J209)</f>
        <v>#REF!</v>
      </c>
      <c r="K210" s="1" t="e">
        <f>IF(AND(Table15[[#This Row],[Rising Through Threshold]],J209&gt;0),J210-J209,"")</f>
        <v>#REF!</v>
      </c>
    </row>
    <row r="211" spans="1:11" x14ac:dyDescent="0.45">
      <c r="A211" s="1" t="s">
        <v>229</v>
      </c>
      <c r="B211" s="1">
        <f t="shared" si="17"/>
        <v>6</v>
      </c>
      <c r="C211" s="1">
        <f t="shared" si="16"/>
        <v>12</v>
      </c>
      <c r="D211" s="1">
        <f t="shared" si="16"/>
        <v>17</v>
      </c>
      <c r="E211" s="1" t="e">
        <f t="shared" si="16"/>
        <v>#VALUE!</v>
      </c>
      <c r="F211" s="3" t="e">
        <f>'Data In'!#REF!</f>
        <v>#REF!</v>
      </c>
      <c r="G211" s="4" t="e">
        <f>'Data In'!#REF!</f>
        <v>#REF!</v>
      </c>
      <c r="H211" s="3" t="e">
        <f t="shared" si="18"/>
        <v>#VALUE!</v>
      </c>
      <c r="I211" s="1" t="e">
        <f t="shared" si="15"/>
        <v>#REF!</v>
      </c>
      <c r="J211" s="1" t="e">
        <f>IF(Table15[[#This Row],[Rising Through Threshold]],Table15[[#This Row],[Start time]],J210)</f>
        <v>#REF!</v>
      </c>
      <c r="K211" s="1" t="e">
        <f>IF(AND(Table15[[#This Row],[Rising Through Threshold]],J210&gt;0),J211-J210,"")</f>
        <v>#REF!</v>
      </c>
    </row>
    <row r="212" spans="1:11" x14ac:dyDescent="0.45">
      <c r="A212" s="1" t="s">
        <v>230</v>
      </c>
      <c r="B212" s="1">
        <f t="shared" si="17"/>
        <v>6</v>
      </c>
      <c r="C212" s="1">
        <f t="shared" si="16"/>
        <v>12</v>
      </c>
      <c r="D212" s="1">
        <f t="shared" si="16"/>
        <v>17</v>
      </c>
      <c r="E212" s="1" t="e">
        <f t="shared" si="16"/>
        <v>#VALUE!</v>
      </c>
      <c r="F212" s="3" t="e">
        <f>'Data In'!#REF!</f>
        <v>#REF!</v>
      </c>
      <c r="G212" s="4" t="e">
        <f>'Data In'!#REF!</f>
        <v>#REF!</v>
      </c>
      <c r="H212" s="3" t="e">
        <f t="shared" si="18"/>
        <v>#VALUE!</v>
      </c>
      <c r="I212" s="1" t="e">
        <f t="shared" si="15"/>
        <v>#REF!</v>
      </c>
      <c r="J212" s="1" t="e">
        <f>IF(Table15[[#This Row],[Rising Through Threshold]],Table15[[#This Row],[Start time]],J211)</f>
        <v>#REF!</v>
      </c>
      <c r="K212" s="1" t="e">
        <f>IF(AND(Table15[[#This Row],[Rising Through Threshold]],J211&gt;0),J212-J211,"")</f>
        <v>#REF!</v>
      </c>
    </row>
    <row r="213" spans="1:11" x14ac:dyDescent="0.45">
      <c r="A213" s="1" t="s">
        <v>231</v>
      </c>
      <c r="B213" s="1">
        <f t="shared" si="17"/>
        <v>6</v>
      </c>
      <c r="C213" s="1">
        <f t="shared" si="16"/>
        <v>12</v>
      </c>
      <c r="D213" s="1">
        <f t="shared" si="16"/>
        <v>17</v>
      </c>
      <c r="E213" s="1" t="e">
        <f t="shared" si="16"/>
        <v>#VALUE!</v>
      </c>
      <c r="F213" s="3" t="e">
        <f>'Data In'!#REF!</f>
        <v>#REF!</v>
      </c>
      <c r="G213" s="4" t="e">
        <f>'Data In'!#REF!</f>
        <v>#REF!</v>
      </c>
      <c r="H213" s="3" t="e">
        <f t="shared" si="18"/>
        <v>#VALUE!</v>
      </c>
      <c r="I213" s="1" t="e">
        <f t="shared" si="15"/>
        <v>#REF!</v>
      </c>
      <c r="J213" s="1" t="e">
        <f>IF(Table15[[#This Row],[Rising Through Threshold]],Table15[[#This Row],[Start time]],J212)</f>
        <v>#REF!</v>
      </c>
      <c r="K213" s="1" t="e">
        <f>IF(AND(Table15[[#This Row],[Rising Through Threshold]],J212&gt;0),J213-J212,"")</f>
        <v>#REF!</v>
      </c>
    </row>
    <row r="214" spans="1:11" x14ac:dyDescent="0.45">
      <c r="A214" s="1" t="s">
        <v>232</v>
      </c>
      <c r="B214" s="1">
        <f t="shared" si="17"/>
        <v>6</v>
      </c>
      <c r="C214" s="1">
        <f t="shared" si="16"/>
        <v>12</v>
      </c>
      <c r="D214" s="1">
        <f t="shared" si="16"/>
        <v>17</v>
      </c>
      <c r="E214" s="1" t="e">
        <f t="shared" si="16"/>
        <v>#VALUE!</v>
      </c>
      <c r="F214" s="3" t="e">
        <f>'Data In'!#REF!</f>
        <v>#REF!</v>
      </c>
      <c r="G214" s="4" t="e">
        <f>'Data In'!#REF!</f>
        <v>#REF!</v>
      </c>
      <c r="H214" s="3" t="e">
        <f t="shared" si="18"/>
        <v>#VALUE!</v>
      </c>
      <c r="I214" s="1" t="e">
        <f t="shared" si="15"/>
        <v>#REF!</v>
      </c>
      <c r="J214" s="1" t="e">
        <f>IF(Table15[[#This Row],[Rising Through Threshold]],Table15[[#This Row],[Start time]],J213)</f>
        <v>#REF!</v>
      </c>
      <c r="K214" s="1" t="e">
        <f>IF(AND(Table15[[#This Row],[Rising Through Threshold]],J213&gt;0),J214-J213,"")</f>
        <v>#REF!</v>
      </c>
    </row>
    <row r="215" spans="1:11" x14ac:dyDescent="0.45">
      <c r="A215" s="1" t="s">
        <v>233</v>
      </c>
      <c r="B215" s="1">
        <f t="shared" si="17"/>
        <v>6</v>
      </c>
      <c r="C215" s="1">
        <f t="shared" si="16"/>
        <v>12</v>
      </c>
      <c r="D215" s="1">
        <f t="shared" si="16"/>
        <v>17</v>
      </c>
      <c r="E215" s="1" t="e">
        <f t="shared" si="16"/>
        <v>#VALUE!</v>
      </c>
      <c r="F215" s="3" t="e">
        <f>'Data In'!#REF!</f>
        <v>#REF!</v>
      </c>
      <c r="G215" s="4" t="e">
        <f>'Data In'!#REF!</f>
        <v>#REF!</v>
      </c>
      <c r="H215" s="3" t="e">
        <f t="shared" si="18"/>
        <v>#VALUE!</v>
      </c>
      <c r="I215" s="1" t="e">
        <f t="shared" si="15"/>
        <v>#REF!</v>
      </c>
      <c r="J215" s="1" t="e">
        <f>IF(Table15[[#This Row],[Rising Through Threshold]],Table15[[#This Row],[Start time]],J214)</f>
        <v>#REF!</v>
      </c>
      <c r="K215" s="1" t="e">
        <f>IF(AND(Table15[[#This Row],[Rising Through Threshold]],J214&gt;0),J215-J214,"")</f>
        <v>#REF!</v>
      </c>
    </row>
    <row r="216" spans="1:11" x14ac:dyDescent="0.45">
      <c r="A216" s="1" t="s">
        <v>234</v>
      </c>
      <c r="B216" s="1">
        <f t="shared" si="17"/>
        <v>6</v>
      </c>
      <c r="C216" s="1">
        <f t="shared" si="16"/>
        <v>12</v>
      </c>
      <c r="D216" s="1">
        <f t="shared" si="16"/>
        <v>17</v>
      </c>
      <c r="E216" s="1" t="e">
        <f t="shared" si="16"/>
        <v>#VALUE!</v>
      </c>
      <c r="F216" s="3" t="e">
        <f>'Data In'!#REF!</f>
        <v>#REF!</v>
      </c>
      <c r="G216" s="4" t="e">
        <f>'Data In'!#REF!</f>
        <v>#REF!</v>
      </c>
      <c r="H216" s="3" t="e">
        <f t="shared" si="18"/>
        <v>#VALUE!</v>
      </c>
      <c r="I216" s="1" t="e">
        <f t="shared" si="15"/>
        <v>#REF!</v>
      </c>
      <c r="J216" s="1" t="e">
        <f>IF(Table15[[#This Row],[Rising Through Threshold]],Table15[[#This Row],[Start time]],J215)</f>
        <v>#REF!</v>
      </c>
      <c r="K216" s="1" t="e">
        <f>IF(AND(Table15[[#This Row],[Rising Through Threshold]],J215&gt;0),J216-J215,"")</f>
        <v>#REF!</v>
      </c>
    </row>
    <row r="217" spans="1:11" x14ac:dyDescent="0.45">
      <c r="A217" s="1" t="s">
        <v>235</v>
      </c>
      <c r="B217" s="1">
        <f t="shared" si="17"/>
        <v>6</v>
      </c>
      <c r="C217" s="1">
        <f t="shared" si="16"/>
        <v>12</v>
      </c>
      <c r="D217" s="1">
        <f t="shared" si="16"/>
        <v>17</v>
      </c>
      <c r="E217" s="1" t="e">
        <f t="shared" si="16"/>
        <v>#VALUE!</v>
      </c>
      <c r="F217" s="3" t="e">
        <f>'Data In'!#REF!</f>
        <v>#REF!</v>
      </c>
      <c r="G217" s="4" t="e">
        <f>'Data In'!#REF!</f>
        <v>#REF!</v>
      </c>
      <c r="H217" s="3" t="e">
        <f t="shared" si="18"/>
        <v>#VALUE!</v>
      </c>
      <c r="I217" s="1" t="e">
        <f t="shared" si="15"/>
        <v>#REF!</v>
      </c>
      <c r="J217" s="1" t="e">
        <f>IF(Table15[[#This Row],[Rising Through Threshold]],Table15[[#This Row],[Start time]],J216)</f>
        <v>#REF!</v>
      </c>
      <c r="K217" s="1" t="e">
        <f>IF(AND(Table15[[#This Row],[Rising Through Threshold]],J216&gt;0),J217-J216,"")</f>
        <v>#REF!</v>
      </c>
    </row>
    <row r="218" spans="1:11" x14ac:dyDescent="0.45">
      <c r="A218" s="1" t="s">
        <v>236</v>
      </c>
      <c r="B218" s="1">
        <f t="shared" si="17"/>
        <v>6</v>
      </c>
      <c r="C218" s="1">
        <f t="shared" si="16"/>
        <v>12</v>
      </c>
      <c r="D218" s="1">
        <f t="shared" si="16"/>
        <v>17</v>
      </c>
      <c r="E218" s="1" t="e">
        <f t="shared" si="16"/>
        <v>#VALUE!</v>
      </c>
      <c r="F218" s="3" t="e">
        <f>'Data In'!#REF!</f>
        <v>#REF!</v>
      </c>
      <c r="G218" s="4" t="e">
        <f>'Data In'!#REF!</f>
        <v>#REF!</v>
      </c>
      <c r="H218" s="3" t="e">
        <f t="shared" si="18"/>
        <v>#VALUE!</v>
      </c>
      <c r="I218" s="1" t="e">
        <f t="shared" si="15"/>
        <v>#REF!</v>
      </c>
      <c r="J218" s="1" t="e">
        <f>IF(Table15[[#This Row],[Rising Through Threshold]],Table15[[#This Row],[Start time]],J217)</f>
        <v>#REF!</v>
      </c>
      <c r="K218" s="1" t="e">
        <f>IF(AND(Table15[[#This Row],[Rising Through Threshold]],J217&gt;0),J218-J217,"")</f>
        <v>#REF!</v>
      </c>
    </row>
    <row r="219" spans="1:11" x14ac:dyDescent="0.45">
      <c r="A219" s="1" t="s">
        <v>237</v>
      </c>
      <c r="B219" s="1">
        <f t="shared" si="17"/>
        <v>6</v>
      </c>
      <c r="C219" s="1">
        <f t="shared" si="16"/>
        <v>12</v>
      </c>
      <c r="D219" s="1">
        <f t="shared" si="16"/>
        <v>17</v>
      </c>
      <c r="E219" s="1" t="e">
        <f t="shared" si="16"/>
        <v>#VALUE!</v>
      </c>
      <c r="F219" s="3" t="e">
        <f>'Data In'!#REF!</f>
        <v>#REF!</v>
      </c>
      <c r="G219" s="4" t="e">
        <f>'Data In'!#REF!</f>
        <v>#REF!</v>
      </c>
      <c r="H219" s="3" t="e">
        <f t="shared" si="18"/>
        <v>#VALUE!</v>
      </c>
      <c r="I219" s="1" t="e">
        <f t="shared" si="15"/>
        <v>#REF!</v>
      </c>
      <c r="J219" s="1" t="e">
        <f>IF(Table15[[#This Row],[Rising Through Threshold]],Table15[[#This Row],[Start time]],J218)</f>
        <v>#REF!</v>
      </c>
      <c r="K219" s="1" t="e">
        <f>IF(AND(Table15[[#This Row],[Rising Through Threshold]],J218&gt;0),J219-J218,"")</f>
        <v>#REF!</v>
      </c>
    </row>
    <row r="220" spans="1:11" x14ac:dyDescent="0.45">
      <c r="A220" s="1" t="s">
        <v>238</v>
      </c>
      <c r="B220" s="1">
        <f t="shared" si="17"/>
        <v>6</v>
      </c>
      <c r="C220" s="1">
        <f t="shared" si="16"/>
        <v>12</v>
      </c>
      <c r="D220" s="1">
        <f t="shared" si="16"/>
        <v>17</v>
      </c>
      <c r="E220" s="1" t="e">
        <f t="shared" si="16"/>
        <v>#VALUE!</v>
      </c>
      <c r="F220" s="3" t="e">
        <f>'Data In'!#REF!</f>
        <v>#REF!</v>
      </c>
      <c r="G220" s="4" t="e">
        <f>'Data In'!#REF!</f>
        <v>#REF!</v>
      </c>
      <c r="H220" s="3" t="e">
        <f t="shared" si="18"/>
        <v>#VALUE!</v>
      </c>
      <c r="I220" s="1" t="e">
        <f t="shared" si="15"/>
        <v>#REF!</v>
      </c>
      <c r="J220" s="1" t="e">
        <f>IF(Table15[[#This Row],[Rising Through Threshold]],Table15[[#This Row],[Start time]],J219)</f>
        <v>#REF!</v>
      </c>
      <c r="K220" s="1" t="e">
        <f>IF(AND(Table15[[#This Row],[Rising Through Threshold]],J219&gt;0),J220-J219,"")</f>
        <v>#REF!</v>
      </c>
    </row>
    <row r="221" spans="1:11" x14ac:dyDescent="0.45">
      <c r="A221" s="1" t="s">
        <v>239</v>
      </c>
      <c r="B221" s="1">
        <f t="shared" si="17"/>
        <v>6</v>
      </c>
      <c r="C221" s="1">
        <f t="shared" si="16"/>
        <v>12</v>
      </c>
      <c r="D221" s="1">
        <f t="shared" si="16"/>
        <v>17</v>
      </c>
      <c r="E221" s="1" t="e">
        <f t="shared" si="16"/>
        <v>#VALUE!</v>
      </c>
      <c r="F221" s="3" t="e">
        <f>'Data In'!#REF!</f>
        <v>#REF!</v>
      </c>
      <c r="G221" s="4" t="e">
        <f>'Data In'!#REF!</f>
        <v>#REF!</v>
      </c>
      <c r="H221" s="3" t="e">
        <f t="shared" si="18"/>
        <v>#VALUE!</v>
      </c>
      <c r="I221" s="1" t="e">
        <f t="shared" si="15"/>
        <v>#REF!</v>
      </c>
      <c r="J221" s="1" t="e">
        <f>IF(Table15[[#This Row],[Rising Through Threshold]],Table15[[#This Row],[Start time]],J220)</f>
        <v>#REF!</v>
      </c>
      <c r="K221" s="1" t="e">
        <f>IF(AND(Table15[[#This Row],[Rising Through Threshold]],J220&gt;0),J221-J220,"")</f>
        <v>#REF!</v>
      </c>
    </row>
    <row r="222" spans="1:11" x14ac:dyDescent="0.45">
      <c r="A222" s="1" t="s">
        <v>240</v>
      </c>
      <c r="B222" s="1">
        <f t="shared" si="17"/>
        <v>6</v>
      </c>
      <c r="C222" s="1">
        <f t="shared" si="16"/>
        <v>12</v>
      </c>
      <c r="D222" s="1">
        <f t="shared" si="16"/>
        <v>17</v>
      </c>
      <c r="E222" s="1" t="e">
        <f t="shared" si="16"/>
        <v>#VALUE!</v>
      </c>
      <c r="F222" s="3" t="e">
        <f>'Data In'!#REF!</f>
        <v>#REF!</v>
      </c>
      <c r="G222" s="4" t="e">
        <f>'Data In'!#REF!</f>
        <v>#REF!</v>
      </c>
      <c r="H222" s="3" t="e">
        <f t="shared" si="18"/>
        <v>#VALUE!</v>
      </c>
      <c r="I222" s="1" t="e">
        <f t="shared" si="15"/>
        <v>#REF!</v>
      </c>
      <c r="J222" s="1" t="e">
        <f>IF(Table15[[#This Row],[Rising Through Threshold]],Table15[[#This Row],[Start time]],J221)</f>
        <v>#REF!</v>
      </c>
      <c r="K222" s="1" t="e">
        <f>IF(AND(Table15[[#This Row],[Rising Through Threshold]],J221&gt;0),J222-J221,"")</f>
        <v>#REF!</v>
      </c>
    </row>
    <row r="223" spans="1:11" x14ac:dyDescent="0.45">
      <c r="A223" s="1" t="s">
        <v>241</v>
      </c>
      <c r="B223" s="1">
        <f t="shared" si="17"/>
        <v>6</v>
      </c>
      <c r="C223" s="1">
        <f t="shared" si="16"/>
        <v>12</v>
      </c>
      <c r="D223" s="1">
        <f t="shared" si="16"/>
        <v>17</v>
      </c>
      <c r="E223" s="1" t="e">
        <f t="shared" si="16"/>
        <v>#VALUE!</v>
      </c>
      <c r="F223" s="3" t="e">
        <f>'Data In'!#REF!</f>
        <v>#REF!</v>
      </c>
      <c r="G223" s="4" t="e">
        <f>'Data In'!#REF!</f>
        <v>#REF!</v>
      </c>
      <c r="H223" s="3" t="e">
        <f t="shared" si="18"/>
        <v>#VALUE!</v>
      </c>
      <c r="I223" s="1" t="e">
        <f t="shared" si="15"/>
        <v>#REF!</v>
      </c>
      <c r="J223" s="1" t="e">
        <f>IF(Table15[[#This Row],[Rising Through Threshold]],Table15[[#This Row],[Start time]],J222)</f>
        <v>#REF!</v>
      </c>
      <c r="K223" s="1" t="e">
        <f>IF(AND(Table15[[#This Row],[Rising Through Threshold]],J222&gt;0),J223-J222,"")</f>
        <v>#REF!</v>
      </c>
    </row>
    <row r="224" spans="1:11" x14ac:dyDescent="0.45">
      <c r="A224" s="1" t="s">
        <v>242</v>
      </c>
      <c r="B224" s="1">
        <f t="shared" si="17"/>
        <v>6</v>
      </c>
      <c r="C224" s="1">
        <f t="shared" si="16"/>
        <v>12</v>
      </c>
      <c r="D224" s="1">
        <f t="shared" si="16"/>
        <v>17</v>
      </c>
      <c r="E224" s="1" t="e">
        <f t="shared" si="16"/>
        <v>#VALUE!</v>
      </c>
      <c r="F224" s="3" t="e">
        <f>'Data In'!#REF!</f>
        <v>#REF!</v>
      </c>
      <c r="G224" s="4" t="e">
        <f>'Data In'!#REF!</f>
        <v>#REF!</v>
      </c>
      <c r="H224" s="3" t="e">
        <f t="shared" si="18"/>
        <v>#VALUE!</v>
      </c>
      <c r="I224" s="1" t="e">
        <f t="shared" si="15"/>
        <v>#REF!</v>
      </c>
      <c r="J224" s="1" t="e">
        <f>IF(Table15[[#This Row],[Rising Through Threshold]],Table15[[#This Row],[Start time]],J223)</f>
        <v>#REF!</v>
      </c>
      <c r="K224" s="1" t="e">
        <f>IF(AND(Table15[[#This Row],[Rising Through Threshold]],J223&gt;0),J224-J223,"")</f>
        <v>#REF!</v>
      </c>
    </row>
    <row r="225" spans="1:11" x14ac:dyDescent="0.45">
      <c r="A225" s="1" t="s">
        <v>243</v>
      </c>
      <c r="B225" s="1">
        <f t="shared" si="17"/>
        <v>6</v>
      </c>
      <c r="C225" s="1">
        <f t="shared" si="16"/>
        <v>12</v>
      </c>
      <c r="D225" s="1">
        <f t="shared" si="16"/>
        <v>17</v>
      </c>
      <c r="E225" s="1" t="e">
        <f t="shared" si="16"/>
        <v>#VALUE!</v>
      </c>
      <c r="F225" s="3" t="e">
        <f>'Data In'!#REF!</f>
        <v>#REF!</v>
      </c>
      <c r="G225" s="4" t="e">
        <f>'Data In'!#REF!</f>
        <v>#REF!</v>
      </c>
      <c r="H225" s="3" t="e">
        <f t="shared" si="18"/>
        <v>#VALUE!</v>
      </c>
      <c r="I225" s="1" t="e">
        <f t="shared" si="15"/>
        <v>#REF!</v>
      </c>
      <c r="J225" s="1" t="e">
        <f>IF(Table15[[#This Row],[Rising Through Threshold]],Table15[[#This Row],[Start time]],J224)</f>
        <v>#REF!</v>
      </c>
      <c r="K225" s="1" t="e">
        <f>IF(AND(Table15[[#This Row],[Rising Through Threshold]],J224&gt;0),J225-J224,"")</f>
        <v>#REF!</v>
      </c>
    </row>
    <row r="226" spans="1:11" x14ac:dyDescent="0.45">
      <c r="A226" s="1" t="s">
        <v>18</v>
      </c>
      <c r="B226" s="1">
        <f t="shared" si="17"/>
        <v>6</v>
      </c>
      <c r="C226" s="1">
        <f t="shared" si="16"/>
        <v>12</v>
      </c>
      <c r="D226" s="1">
        <f t="shared" si="16"/>
        <v>17</v>
      </c>
      <c r="E226" s="1" t="e">
        <f t="shared" si="16"/>
        <v>#VALUE!</v>
      </c>
      <c r="F226" s="3" t="e">
        <f>'Data In'!#REF!</f>
        <v>#REF!</v>
      </c>
      <c r="G226" s="4" t="e">
        <f>'Data In'!#REF!</f>
        <v>#REF!</v>
      </c>
      <c r="H226" s="3" t="e">
        <f t="shared" si="18"/>
        <v>#VALUE!</v>
      </c>
      <c r="I226" s="1" t="e">
        <f t="shared" si="15"/>
        <v>#REF!</v>
      </c>
      <c r="J226" s="1" t="e">
        <f>IF(Table15[[#This Row],[Rising Through Threshold]],Table15[[#This Row],[Start time]],J225)</f>
        <v>#REF!</v>
      </c>
      <c r="K226" s="1" t="e">
        <f>IF(AND(Table15[[#This Row],[Rising Through Threshold]],J225&gt;0),J226-J225,"")</f>
        <v>#REF!</v>
      </c>
    </row>
    <row r="227" spans="1:11" x14ac:dyDescent="0.45">
      <c r="A227" s="1" t="s">
        <v>244</v>
      </c>
      <c r="B227" s="1">
        <f t="shared" si="17"/>
        <v>6</v>
      </c>
      <c r="C227" s="1">
        <f t="shared" si="16"/>
        <v>12</v>
      </c>
      <c r="D227" s="1">
        <f t="shared" si="16"/>
        <v>17</v>
      </c>
      <c r="E227" s="1" t="e">
        <f t="shared" si="16"/>
        <v>#VALUE!</v>
      </c>
      <c r="F227" s="3" t="e">
        <f>'Data In'!#REF!</f>
        <v>#REF!</v>
      </c>
      <c r="G227" s="4" t="e">
        <f>'Data In'!#REF!</f>
        <v>#REF!</v>
      </c>
      <c r="H227" s="3" t="e">
        <f t="shared" si="18"/>
        <v>#VALUE!</v>
      </c>
      <c r="I227" s="1" t="e">
        <f t="shared" si="15"/>
        <v>#REF!</v>
      </c>
      <c r="J227" s="1" t="e">
        <f>IF(Table15[[#This Row],[Rising Through Threshold]],Table15[[#This Row],[Start time]],J226)</f>
        <v>#REF!</v>
      </c>
      <c r="K227" s="1" t="e">
        <f>IF(AND(Table15[[#This Row],[Rising Through Threshold]],J226&gt;0),J227-J226,"")</f>
        <v>#REF!</v>
      </c>
    </row>
    <row r="228" spans="1:11" x14ac:dyDescent="0.45">
      <c r="A228" s="1" t="s">
        <v>245</v>
      </c>
      <c r="B228" s="1">
        <f t="shared" si="17"/>
        <v>6</v>
      </c>
      <c r="C228" s="1">
        <f t="shared" si="16"/>
        <v>12</v>
      </c>
      <c r="D228" s="1">
        <f t="shared" si="16"/>
        <v>17</v>
      </c>
      <c r="E228" s="1" t="e">
        <f t="shared" si="16"/>
        <v>#VALUE!</v>
      </c>
      <c r="F228" s="3" t="e">
        <f>'Data In'!#REF!</f>
        <v>#REF!</v>
      </c>
      <c r="G228" s="4" t="e">
        <f>'Data In'!#REF!</f>
        <v>#REF!</v>
      </c>
      <c r="H228" s="3" t="e">
        <f t="shared" si="18"/>
        <v>#VALUE!</v>
      </c>
      <c r="I228" s="1" t="e">
        <f t="shared" si="15"/>
        <v>#REF!</v>
      </c>
      <c r="J228" s="1" t="e">
        <f>IF(Table15[[#This Row],[Rising Through Threshold]],Table15[[#This Row],[Start time]],J227)</f>
        <v>#REF!</v>
      </c>
      <c r="K228" s="1" t="e">
        <f>IF(AND(Table15[[#This Row],[Rising Through Threshold]],J227&gt;0),J228-J227,"")</f>
        <v>#REF!</v>
      </c>
    </row>
    <row r="229" spans="1:11" x14ac:dyDescent="0.45">
      <c r="A229" s="1" t="s">
        <v>246</v>
      </c>
      <c r="B229" s="1">
        <f t="shared" si="17"/>
        <v>6</v>
      </c>
      <c r="C229" s="1">
        <f t="shared" si="16"/>
        <v>12</v>
      </c>
      <c r="D229" s="1">
        <f t="shared" si="16"/>
        <v>17</v>
      </c>
      <c r="E229" s="1" t="e">
        <f t="shared" si="16"/>
        <v>#VALUE!</v>
      </c>
      <c r="F229" s="3" t="e">
        <f>'Data In'!#REF!</f>
        <v>#REF!</v>
      </c>
      <c r="G229" s="4" t="e">
        <f>'Data In'!#REF!</f>
        <v>#REF!</v>
      </c>
      <c r="H229" s="3" t="e">
        <f t="shared" si="18"/>
        <v>#VALUE!</v>
      </c>
      <c r="I229" s="1" t="e">
        <f t="shared" si="15"/>
        <v>#REF!</v>
      </c>
      <c r="J229" s="1" t="e">
        <f>IF(Table15[[#This Row],[Rising Through Threshold]],Table15[[#This Row],[Start time]],J228)</f>
        <v>#REF!</v>
      </c>
      <c r="K229" s="1" t="e">
        <f>IF(AND(Table15[[#This Row],[Rising Through Threshold]],J228&gt;0),J229-J228,"")</f>
        <v>#REF!</v>
      </c>
    </row>
    <row r="230" spans="1:11" x14ac:dyDescent="0.45">
      <c r="A230" s="1" t="s">
        <v>247</v>
      </c>
      <c r="B230" s="1">
        <f t="shared" si="17"/>
        <v>6</v>
      </c>
      <c r="C230" s="1">
        <f t="shared" si="16"/>
        <v>12</v>
      </c>
      <c r="D230" s="1">
        <f t="shared" si="16"/>
        <v>17</v>
      </c>
      <c r="E230" s="1" t="e">
        <f t="shared" si="16"/>
        <v>#VALUE!</v>
      </c>
      <c r="F230" s="3" t="e">
        <f>'Data In'!#REF!</f>
        <v>#REF!</v>
      </c>
      <c r="G230" s="4" t="e">
        <f>'Data In'!#REF!</f>
        <v>#REF!</v>
      </c>
      <c r="H230" s="3" t="e">
        <f t="shared" si="18"/>
        <v>#VALUE!</v>
      </c>
      <c r="I230" s="1" t="e">
        <f t="shared" si="15"/>
        <v>#REF!</v>
      </c>
      <c r="J230" s="1" t="e">
        <f>IF(Table15[[#This Row],[Rising Through Threshold]],Table15[[#This Row],[Start time]],J229)</f>
        <v>#REF!</v>
      </c>
      <c r="K230" s="1" t="e">
        <f>IF(AND(Table15[[#This Row],[Rising Through Threshold]],J229&gt;0),J230-J229,"")</f>
        <v>#REF!</v>
      </c>
    </row>
    <row r="231" spans="1:11" x14ac:dyDescent="0.45">
      <c r="A231" s="1" t="s">
        <v>248</v>
      </c>
      <c r="B231" s="1">
        <f t="shared" si="17"/>
        <v>6</v>
      </c>
      <c r="C231" s="1">
        <f t="shared" si="16"/>
        <v>12</v>
      </c>
      <c r="D231" s="1">
        <f t="shared" si="16"/>
        <v>17</v>
      </c>
      <c r="E231" s="1" t="e">
        <f t="shared" si="16"/>
        <v>#VALUE!</v>
      </c>
      <c r="F231" s="3" t="e">
        <f>'Data In'!#REF!</f>
        <v>#REF!</v>
      </c>
      <c r="G231" s="4" t="e">
        <f>'Data In'!#REF!</f>
        <v>#REF!</v>
      </c>
      <c r="H231" s="3" t="e">
        <f t="shared" si="18"/>
        <v>#VALUE!</v>
      </c>
      <c r="I231" s="1" t="e">
        <f t="shared" si="15"/>
        <v>#REF!</v>
      </c>
      <c r="J231" s="1" t="e">
        <f>IF(Table15[[#This Row],[Rising Through Threshold]],Table15[[#This Row],[Start time]],J230)</f>
        <v>#REF!</v>
      </c>
      <c r="K231" s="1" t="e">
        <f>IF(AND(Table15[[#This Row],[Rising Through Threshold]],J230&gt;0),J231-J230,"")</f>
        <v>#REF!</v>
      </c>
    </row>
    <row r="232" spans="1:11" x14ac:dyDescent="0.45">
      <c r="A232" s="1" t="s">
        <v>249</v>
      </c>
      <c r="B232" s="1">
        <f t="shared" si="17"/>
        <v>6</v>
      </c>
      <c r="C232" s="1">
        <f t="shared" si="16"/>
        <v>12</v>
      </c>
      <c r="D232" s="1">
        <f t="shared" si="16"/>
        <v>17</v>
      </c>
      <c r="E232" s="1" t="e">
        <f t="shared" si="16"/>
        <v>#VALUE!</v>
      </c>
      <c r="F232" s="3" t="e">
        <f>'Data In'!#REF!</f>
        <v>#REF!</v>
      </c>
      <c r="G232" s="4" t="e">
        <f>'Data In'!#REF!</f>
        <v>#REF!</v>
      </c>
      <c r="H232" s="3" t="e">
        <f t="shared" si="18"/>
        <v>#VALUE!</v>
      </c>
      <c r="I232" s="1" t="e">
        <f t="shared" si="15"/>
        <v>#REF!</v>
      </c>
      <c r="J232" s="1" t="e">
        <f>IF(Table15[[#This Row],[Rising Through Threshold]],Table15[[#This Row],[Start time]],J231)</f>
        <v>#REF!</v>
      </c>
      <c r="K232" s="1" t="e">
        <f>IF(AND(Table15[[#This Row],[Rising Through Threshold]],J231&gt;0),J232-J231,"")</f>
        <v>#REF!</v>
      </c>
    </row>
    <row r="233" spans="1:11" x14ac:dyDescent="0.45">
      <c r="A233" s="1" t="s">
        <v>250</v>
      </c>
      <c r="B233" s="1">
        <f t="shared" si="17"/>
        <v>6</v>
      </c>
      <c r="C233" s="1">
        <f t="shared" si="16"/>
        <v>12</v>
      </c>
      <c r="D233" s="1">
        <f t="shared" si="16"/>
        <v>17</v>
      </c>
      <c r="E233" s="1" t="e">
        <f t="shared" si="16"/>
        <v>#VALUE!</v>
      </c>
      <c r="F233" s="3" t="e">
        <f>'Data In'!#REF!</f>
        <v>#REF!</v>
      </c>
      <c r="G233" s="4" t="e">
        <f>'Data In'!#REF!</f>
        <v>#REF!</v>
      </c>
      <c r="H233" s="3" t="e">
        <f t="shared" si="18"/>
        <v>#VALUE!</v>
      </c>
      <c r="I233" s="1" t="e">
        <f t="shared" si="15"/>
        <v>#REF!</v>
      </c>
      <c r="J233" s="1" t="e">
        <f>IF(Table15[[#This Row],[Rising Through Threshold]],Table15[[#This Row],[Start time]],J232)</f>
        <v>#REF!</v>
      </c>
      <c r="K233" s="1" t="e">
        <f>IF(AND(Table15[[#This Row],[Rising Through Threshold]],J232&gt;0),J233-J232,"")</f>
        <v>#REF!</v>
      </c>
    </row>
    <row r="234" spans="1:11" x14ac:dyDescent="0.45">
      <c r="A234" s="1" t="s">
        <v>251</v>
      </c>
      <c r="B234" s="1">
        <f t="shared" si="17"/>
        <v>6</v>
      </c>
      <c r="C234" s="1">
        <f t="shared" si="16"/>
        <v>12</v>
      </c>
      <c r="D234" s="1">
        <f t="shared" si="16"/>
        <v>17</v>
      </c>
      <c r="E234" s="1" t="e">
        <f t="shared" si="16"/>
        <v>#VALUE!</v>
      </c>
      <c r="F234" s="3" t="e">
        <f>'Data In'!#REF!</f>
        <v>#REF!</v>
      </c>
      <c r="G234" s="4" t="e">
        <f>'Data In'!#REF!</f>
        <v>#REF!</v>
      </c>
      <c r="H234" s="3" t="e">
        <f t="shared" si="18"/>
        <v>#VALUE!</v>
      </c>
      <c r="I234" s="1" t="e">
        <f t="shared" si="15"/>
        <v>#REF!</v>
      </c>
      <c r="J234" s="1" t="e">
        <f>IF(Table15[[#This Row],[Rising Through Threshold]],Table15[[#This Row],[Start time]],J233)</f>
        <v>#REF!</v>
      </c>
      <c r="K234" s="1" t="e">
        <f>IF(AND(Table15[[#This Row],[Rising Through Threshold]],J233&gt;0),J234-J233,"")</f>
        <v>#REF!</v>
      </c>
    </row>
    <row r="235" spans="1:11" x14ac:dyDescent="0.45">
      <c r="A235" s="1" t="s">
        <v>252</v>
      </c>
      <c r="B235" s="1">
        <f t="shared" si="17"/>
        <v>6</v>
      </c>
      <c r="C235" s="1">
        <f t="shared" si="16"/>
        <v>12</v>
      </c>
      <c r="D235" s="1">
        <f t="shared" si="16"/>
        <v>17</v>
      </c>
      <c r="E235" s="1" t="e">
        <f t="shared" si="16"/>
        <v>#VALUE!</v>
      </c>
      <c r="F235" s="3" t="e">
        <f>'Data In'!#REF!</f>
        <v>#REF!</v>
      </c>
      <c r="G235" s="4" t="e">
        <f>'Data In'!#REF!</f>
        <v>#REF!</v>
      </c>
      <c r="H235" s="3" t="e">
        <f t="shared" si="18"/>
        <v>#VALUE!</v>
      </c>
      <c r="I235" s="1" t="e">
        <f t="shared" si="15"/>
        <v>#REF!</v>
      </c>
      <c r="J235" s="1" t="e">
        <f>IF(Table15[[#This Row],[Rising Through Threshold]],Table15[[#This Row],[Start time]],J234)</f>
        <v>#REF!</v>
      </c>
      <c r="K235" s="1" t="e">
        <f>IF(AND(Table15[[#This Row],[Rising Through Threshold]],J234&gt;0),J235-J234,"")</f>
        <v>#REF!</v>
      </c>
    </row>
    <row r="236" spans="1:11" x14ac:dyDescent="0.45">
      <c r="A236" s="1" t="s">
        <v>253</v>
      </c>
      <c r="B236" s="1">
        <f t="shared" si="17"/>
        <v>6</v>
      </c>
      <c r="C236" s="1">
        <f t="shared" si="16"/>
        <v>12</v>
      </c>
      <c r="D236" s="1">
        <f t="shared" si="16"/>
        <v>17</v>
      </c>
      <c r="E236" s="1" t="e">
        <f t="shared" si="16"/>
        <v>#VALUE!</v>
      </c>
      <c r="F236" s="3" t="e">
        <f>'Data In'!#REF!</f>
        <v>#REF!</v>
      </c>
      <c r="G236" s="4" t="e">
        <f>'Data In'!#REF!</f>
        <v>#REF!</v>
      </c>
      <c r="H236" s="3" t="e">
        <f t="shared" si="18"/>
        <v>#VALUE!</v>
      </c>
      <c r="I236" s="1" t="e">
        <f t="shared" si="15"/>
        <v>#REF!</v>
      </c>
      <c r="J236" s="1" t="e">
        <f>IF(Table15[[#This Row],[Rising Through Threshold]],Table15[[#This Row],[Start time]],J235)</f>
        <v>#REF!</v>
      </c>
      <c r="K236" s="1" t="e">
        <f>IF(AND(Table15[[#This Row],[Rising Through Threshold]],J235&gt;0),J236-J235,"")</f>
        <v>#REF!</v>
      </c>
    </row>
    <row r="237" spans="1:11" x14ac:dyDescent="0.45">
      <c r="A237" s="1" t="s">
        <v>254</v>
      </c>
      <c r="B237" s="1">
        <f t="shared" si="17"/>
        <v>6</v>
      </c>
      <c r="C237" s="1">
        <f t="shared" si="16"/>
        <v>12</v>
      </c>
      <c r="D237" s="1">
        <f t="shared" si="16"/>
        <v>17</v>
      </c>
      <c r="E237" s="1" t="e">
        <f t="shared" si="16"/>
        <v>#VALUE!</v>
      </c>
      <c r="F237" s="3" t="e">
        <f>'Data In'!#REF!</f>
        <v>#REF!</v>
      </c>
      <c r="G237" s="4" t="e">
        <f>'Data In'!#REF!</f>
        <v>#REF!</v>
      </c>
      <c r="H237" s="3" t="e">
        <f t="shared" si="18"/>
        <v>#VALUE!</v>
      </c>
      <c r="I237" s="1" t="e">
        <f t="shared" ref="I237:I300" si="19">AND(G236&lt;Threshold,G237&gt;Threshold)</f>
        <v>#REF!</v>
      </c>
      <c r="J237" s="1" t="e">
        <f>IF(Table15[[#This Row],[Rising Through Threshold]],Table15[[#This Row],[Start time]],J236)</f>
        <v>#REF!</v>
      </c>
      <c r="K237" s="1" t="e">
        <f>IF(AND(Table15[[#This Row],[Rising Through Threshold]],J236&gt;0),J237-J236,"")</f>
        <v>#REF!</v>
      </c>
    </row>
    <row r="238" spans="1:11" x14ac:dyDescent="0.45">
      <c r="A238" s="1" t="s">
        <v>255</v>
      </c>
      <c r="B238" s="1">
        <f t="shared" si="17"/>
        <v>6</v>
      </c>
      <c r="C238" s="1">
        <f t="shared" si="16"/>
        <v>12</v>
      </c>
      <c r="D238" s="1">
        <f t="shared" si="16"/>
        <v>17</v>
      </c>
      <c r="E238" s="1" t="e">
        <f t="shared" si="16"/>
        <v>#VALUE!</v>
      </c>
      <c r="F238" s="3" t="e">
        <f>'Data In'!#REF!</f>
        <v>#REF!</v>
      </c>
      <c r="G238" s="4" t="e">
        <f>'Data In'!#REF!</f>
        <v>#REF!</v>
      </c>
      <c r="H238" s="3" t="e">
        <f t="shared" si="18"/>
        <v>#VALUE!</v>
      </c>
      <c r="I238" s="1" t="e">
        <f t="shared" si="19"/>
        <v>#REF!</v>
      </c>
      <c r="J238" s="1" t="e">
        <f>IF(Table15[[#This Row],[Rising Through Threshold]],Table15[[#This Row],[Start time]],J237)</f>
        <v>#REF!</v>
      </c>
      <c r="K238" s="1" t="e">
        <f>IF(AND(Table15[[#This Row],[Rising Through Threshold]],J237&gt;0),J238-J237,"")</f>
        <v>#REF!</v>
      </c>
    </row>
    <row r="239" spans="1:11" x14ac:dyDescent="0.45">
      <c r="A239" s="1" t="s">
        <v>256</v>
      </c>
      <c r="B239" s="1">
        <f t="shared" si="17"/>
        <v>6</v>
      </c>
      <c r="C239" s="1">
        <f t="shared" si="16"/>
        <v>12</v>
      </c>
      <c r="D239" s="1">
        <f t="shared" si="16"/>
        <v>17</v>
      </c>
      <c r="E239" s="1" t="e">
        <f t="shared" si="16"/>
        <v>#VALUE!</v>
      </c>
      <c r="F239" s="3" t="e">
        <f>'Data In'!#REF!</f>
        <v>#REF!</v>
      </c>
      <c r="G239" s="4" t="e">
        <f>'Data In'!#REF!</f>
        <v>#REF!</v>
      </c>
      <c r="H239" s="3" t="e">
        <f t="shared" si="18"/>
        <v>#VALUE!</v>
      </c>
      <c r="I239" s="1" t="e">
        <f t="shared" si="19"/>
        <v>#REF!</v>
      </c>
      <c r="J239" s="1" t="e">
        <f>IF(Table15[[#This Row],[Rising Through Threshold]],Table15[[#This Row],[Start time]],J238)</f>
        <v>#REF!</v>
      </c>
      <c r="K239" s="1" t="e">
        <f>IF(AND(Table15[[#This Row],[Rising Through Threshold]],J238&gt;0),J239-J238,"")</f>
        <v>#REF!</v>
      </c>
    </row>
    <row r="240" spans="1:11" x14ac:dyDescent="0.45">
      <c r="A240" s="1" t="s">
        <v>257</v>
      </c>
      <c r="B240" s="1">
        <f t="shared" si="17"/>
        <v>6</v>
      </c>
      <c r="C240" s="1">
        <f t="shared" si="16"/>
        <v>12</v>
      </c>
      <c r="D240" s="1">
        <f t="shared" si="16"/>
        <v>17</v>
      </c>
      <c r="E240" s="1" t="e">
        <f t="shared" si="16"/>
        <v>#VALUE!</v>
      </c>
      <c r="F240" s="3" t="e">
        <f>'Data In'!#REF!</f>
        <v>#REF!</v>
      </c>
      <c r="G240" s="4" t="e">
        <f>'Data In'!#REF!</f>
        <v>#REF!</v>
      </c>
      <c r="H240" s="3" t="e">
        <f t="shared" si="18"/>
        <v>#VALUE!</v>
      </c>
      <c r="I240" s="1" t="e">
        <f t="shared" si="19"/>
        <v>#REF!</v>
      </c>
      <c r="J240" s="1" t="e">
        <f>IF(Table15[[#This Row],[Rising Through Threshold]],Table15[[#This Row],[Start time]],J239)</f>
        <v>#REF!</v>
      </c>
      <c r="K240" s="1" t="e">
        <f>IF(AND(Table15[[#This Row],[Rising Through Threshold]],J239&gt;0),J240-J239,"")</f>
        <v>#REF!</v>
      </c>
    </row>
    <row r="241" spans="1:11" x14ac:dyDescent="0.45">
      <c r="A241" s="1" t="s">
        <v>258</v>
      </c>
      <c r="B241" s="1">
        <f t="shared" si="17"/>
        <v>6</v>
      </c>
      <c r="C241" s="1">
        <f t="shared" si="16"/>
        <v>12</v>
      </c>
      <c r="D241" s="1">
        <f t="shared" si="16"/>
        <v>17</v>
      </c>
      <c r="E241" s="1" t="e">
        <f t="shared" si="16"/>
        <v>#VALUE!</v>
      </c>
      <c r="F241" s="3" t="e">
        <f>'Data In'!#REF!</f>
        <v>#REF!</v>
      </c>
      <c r="G241" s="4" t="e">
        <f>'Data In'!#REF!</f>
        <v>#REF!</v>
      </c>
      <c r="H241" s="3" t="e">
        <f t="shared" si="18"/>
        <v>#VALUE!</v>
      </c>
      <c r="I241" s="1" t="e">
        <f t="shared" si="19"/>
        <v>#REF!</v>
      </c>
      <c r="J241" s="1" t="e">
        <f>IF(Table15[[#This Row],[Rising Through Threshold]],Table15[[#This Row],[Start time]],J240)</f>
        <v>#REF!</v>
      </c>
      <c r="K241" s="1" t="e">
        <f>IF(AND(Table15[[#This Row],[Rising Through Threshold]],J240&gt;0),J241-J240,"")</f>
        <v>#REF!</v>
      </c>
    </row>
    <row r="242" spans="1:11" x14ac:dyDescent="0.45">
      <c r="A242" s="1" t="s">
        <v>259</v>
      </c>
      <c r="B242" s="1">
        <f t="shared" si="17"/>
        <v>6</v>
      </c>
      <c r="C242" s="1">
        <f t="shared" si="16"/>
        <v>12</v>
      </c>
      <c r="D242" s="1">
        <f t="shared" si="16"/>
        <v>17</v>
      </c>
      <c r="E242" s="1" t="e">
        <f t="shared" si="16"/>
        <v>#VALUE!</v>
      </c>
      <c r="F242" s="3" t="e">
        <f>'Data In'!#REF!</f>
        <v>#REF!</v>
      </c>
      <c r="G242" s="4" t="e">
        <f>'Data In'!#REF!</f>
        <v>#REF!</v>
      </c>
      <c r="H242" s="3" t="e">
        <f t="shared" si="18"/>
        <v>#VALUE!</v>
      </c>
      <c r="I242" s="1" t="e">
        <f t="shared" si="19"/>
        <v>#REF!</v>
      </c>
      <c r="J242" s="1" t="e">
        <f>IF(Table15[[#This Row],[Rising Through Threshold]],Table15[[#This Row],[Start time]],J241)</f>
        <v>#REF!</v>
      </c>
      <c r="K242" s="1" t="e">
        <f>IF(AND(Table15[[#This Row],[Rising Through Threshold]],J241&gt;0),J242-J241,"")</f>
        <v>#REF!</v>
      </c>
    </row>
    <row r="243" spans="1:11" x14ac:dyDescent="0.45">
      <c r="A243" s="1" t="s">
        <v>260</v>
      </c>
      <c r="B243" s="1">
        <f t="shared" si="17"/>
        <v>6</v>
      </c>
      <c r="C243" s="1">
        <f t="shared" si="16"/>
        <v>12</v>
      </c>
      <c r="D243" s="1">
        <f t="shared" si="16"/>
        <v>17</v>
      </c>
      <c r="E243" s="1" t="e">
        <f t="shared" si="16"/>
        <v>#VALUE!</v>
      </c>
      <c r="F243" s="3" t="e">
        <f>'Data In'!#REF!</f>
        <v>#REF!</v>
      </c>
      <c r="G243" s="4" t="e">
        <f>'Data In'!#REF!</f>
        <v>#REF!</v>
      </c>
      <c r="H243" s="3" t="e">
        <f t="shared" si="18"/>
        <v>#VALUE!</v>
      </c>
      <c r="I243" s="1" t="e">
        <f t="shared" si="19"/>
        <v>#REF!</v>
      </c>
      <c r="J243" s="1" t="e">
        <f>IF(Table15[[#This Row],[Rising Through Threshold]],Table15[[#This Row],[Start time]],J242)</f>
        <v>#REF!</v>
      </c>
      <c r="K243" s="1" t="e">
        <f>IF(AND(Table15[[#This Row],[Rising Through Threshold]],J242&gt;0),J243-J242,"")</f>
        <v>#REF!</v>
      </c>
    </row>
    <row r="244" spans="1:11" x14ac:dyDescent="0.45">
      <c r="A244" s="1" t="s">
        <v>261</v>
      </c>
      <c r="B244" s="1">
        <f t="shared" si="17"/>
        <v>6</v>
      </c>
      <c r="C244" s="1">
        <f t="shared" si="16"/>
        <v>12</v>
      </c>
      <c r="D244" s="1">
        <f t="shared" si="16"/>
        <v>17</v>
      </c>
      <c r="E244" s="1" t="e">
        <f t="shared" si="16"/>
        <v>#VALUE!</v>
      </c>
      <c r="F244" s="3" t="e">
        <f>'Data In'!#REF!</f>
        <v>#REF!</v>
      </c>
      <c r="G244" s="4" t="e">
        <f>'Data In'!#REF!</f>
        <v>#REF!</v>
      </c>
      <c r="H244" s="3" t="e">
        <f t="shared" si="18"/>
        <v>#VALUE!</v>
      </c>
      <c r="I244" s="1" t="e">
        <f t="shared" si="19"/>
        <v>#REF!</v>
      </c>
      <c r="J244" s="1" t="e">
        <f>IF(Table15[[#This Row],[Rising Through Threshold]],Table15[[#This Row],[Start time]],J243)</f>
        <v>#REF!</v>
      </c>
      <c r="K244" s="1" t="e">
        <f>IF(AND(Table15[[#This Row],[Rising Through Threshold]],J243&gt;0),J244-J243,"")</f>
        <v>#REF!</v>
      </c>
    </row>
    <row r="245" spans="1:11" x14ac:dyDescent="0.45">
      <c r="A245" s="1" t="s">
        <v>262</v>
      </c>
      <c r="B245" s="1">
        <f t="shared" si="17"/>
        <v>6</v>
      </c>
      <c r="C245" s="1">
        <f t="shared" si="16"/>
        <v>12</v>
      </c>
      <c r="D245" s="1">
        <f t="shared" si="16"/>
        <v>17</v>
      </c>
      <c r="E245" s="1" t="e">
        <f t="shared" si="16"/>
        <v>#VALUE!</v>
      </c>
      <c r="F245" s="3" t="e">
        <f>'Data In'!#REF!</f>
        <v>#REF!</v>
      </c>
      <c r="G245" s="4" t="e">
        <f>'Data In'!#REF!</f>
        <v>#REF!</v>
      </c>
      <c r="H245" s="3" t="e">
        <f t="shared" si="18"/>
        <v>#VALUE!</v>
      </c>
      <c r="I245" s="1" t="e">
        <f t="shared" si="19"/>
        <v>#REF!</v>
      </c>
      <c r="J245" s="1" t="e">
        <f>IF(Table15[[#This Row],[Rising Through Threshold]],Table15[[#This Row],[Start time]],J244)</f>
        <v>#REF!</v>
      </c>
      <c r="K245" s="1" t="e">
        <f>IF(AND(Table15[[#This Row],[Rising Through Threshold]],J244&gt;0),J245-J244,"")</f>
        <v>#REF!</v>
      </c>
    </row>
    <row r="246" spans="1:11" x14ac:dyDescent="0.45">
      <c r="A246" s="1" t="s">
        <v>263</v>
      </c>
      <c r="B246" s="1">
        <f t="shared" si="17"/>
        <v>6</v>
      </c>
      <c r="C246" s="1">
        <f t="shared" si="16"/>
        <v>12</v>
      </c>
      <c r="D246" s="1">
        <f t="shared" si="16"/>
        <v>17</v>
      </c>
      <c r="E246" s="1" t="e">
        <f t="shared" si="16"/>
        <v>#VALUE!</v>
      </c>
      <c r="F246" s="3" t="e">
        <f>'Data In'!#REF!</f>
        <v>#REF!</v>
      </c>
      <c r="G246" s="4" t="e">
        <f>'Data In'!#REF!</f>
        <v>#REF!</v>
      </c>
      <c r="H246" s="3" t="e">
        <f t="shared" si="18"/>
        <v>#VALUE!</v>
      </c>
      <c r="I246" s="1" t="e">
        <f t="shared" si="19"/>
        <v>#REF!</v>
      </c>
      <c r="J246" s="1" t="e">
        <f>IF(Table15[[#This Row],[Rising Through Threshold]],Table15[[#This Row],[Start time]],J245)</f>
        <v>#REF!</v>
      </c>
      <c r="K246" s="1" t="e">
        <f>IF(AND(Table15[[#This Row],[Rising Through Threshold]],J245&gt;0),J246-J245,"")</f>
        <v>#REF!</v>
      </c>
    </row>
    <row r="247" spans="1:11" x14ac:dyDescent="0.45">
      <c r="A247" s="1" t="s">
        <v>264</v>
      </c>
      <c r="B247" s="1">
        <f t="shared" si="17"/>
        <v>6</v>
      </c>
      <c r="C247" s="1">
        <f t="shared" si="16"/>
        <v>12</v>
      </c>
      <c r="D247" s="1">
        <f t="shared" si="16"/>
        <v>17</v>
      </c>
      <c r="E247" s="1" t="e">
        <f t="shared" si="16"/>
        <v>#VALUE!</v>
      </c>
      <c r="F247" s="3" t="e">
        <f>'Data In'!#REF!</f>
        <v>#REF!</v>
      </c>
      <c r="G247" s="4" t="e">
        <f>'Data In'!#REF!</f>
        <v>#REF!</v>
      </c>
      <c r="H247" s="3" t="e">
        <f t="shared" si="18"/>
        <v>#VALUE!</v>
      </c>
      <c r="I247" s="1" t="e">
        <f t="shared" si="19"/>
        <v>#REF!</v>
      </c>
      <c r="J247" s="1" t="e">
        <f>IF(Table15[[#This Row],[Rising Through Threshold]],Table15[[#This Row],[Start time]],J246)</f>
        <v>#REF!</v>
      </c>
      <c r="K247" s="1" t="e">
        <f>IF(AND(Table15[[#This Row],[Rising Through Threshold]],J246&gt;0),J247-J246,"")</f>
        <v>#REF!</v>
      </c>
    </row>
    <row r="248" spans="1:11" x14ac:dyDescent="0.45">
      <c r="A248" s="1" t="s">
        <v>265</v>
      </c>
      <c r="B248" s="1">
        <f t="shared" si="17"/>
        <v>6</v>
      </c>
      <c r="C248" s="1">
        <f t="shared" si="16"/>
        <v>12</v>
      </c>
      <c r="D248" s="1">
        <f t="shared" si="16"/>
        <v>17</v>
      </c>
      <c r="E248" s="1" t="e">
        <f t="shared" si="16"/>
        <v>#VALUE!</v>
      </c>
      <c r="F248" s="3" t="e">
        <f>'Data In'!#REF!</f>
        <v>#REF!</v>
      </c>
      <c r="G248" s="4" t="e">
        <f>'Data In'!#REF!</f>
        <v>#REF!</v>
      </c>
      <c r="H248" s="3" t="e">
        <f t="shared" si="18"/>
        <v>#VALUE!</v>
      </c>
      <c r="I248" s="1" t="e">
        <f t="shared" si="19"/>
        <v>#REF!</v>
      </c>
      <c r="J248" s="1" t="e">
        <f>IF(Table15[[#This Row],[Rising Through Threshold]],Table15[[#This Row],[Start time]],J247)</f>
        <v>#REF!</v>
      </c>
      <c r="K248" s="1" t="e">
        <f>IF(AND(Table15[[#This Row],[Rising Through Threshold]],J247&gt;0),J248-J247,"")</f>
        <v>#REF!</v>
      </c>
    </row>
    <row r="249" spans="1:11" x14ac:dyDescent="0.45">
      <c r="A249" s="1" t="s">
        <v>266</v>
      </c>
      <c r="B249" s="1">
        <f t="shared" si="17"/>
        <v>6</v>
      </c>
      <c r="C249" s="1">
        <f t="shared" si="16"/>
        <v>12</v>
      </c>
      <c r="D249" s="1">
        <f t="shared" si="16"/>
        <v>17</v>
      </c>
      <c r="E249" s="1" t="e">
        <f t="shared" si="16"/>
        <v>#VALUE!</v>
      </c>
      <c r="F249" s="3" t="e">
        <f>'Data In'!#REF!</f>
        <v>#REF!</v>
      </c>
      <c r="G249" s="4" t="e">
        <f>'Data In'!#REF!</f>
        <v>#REF!</v>
      </c>
      <c r="H249" s="3" t="e">
        <f t="shared" si="18"/>
        <v>#VALUE!</v>
      </c>
      <c r="I249" s="1" t="e">
        <f t="shared" si="19"/>
        <v>#REF!</v>
      </c>
      <c r="J249" s="1" t="e">
        <f>IF(Table15[[#This Row],[Rising Through Threshold]],Table15[[#This Row],[Start time]],J248)</f>
        <v>#REF!</v>
      </c>
      <c r="K249" s="1" t="e">
        <f>IF(AND(Table15[[#This Row],[Rising Through Threshold]],J248&gt;0),J249-J248,"")</f>
        <v>#REF!</v>
      </c>
    </row>
    <row r="250" spans="1:11" x14ac:dyDescent="0.45">
      <c r="A250" s="1" t="s">
        <v>267</v>
      </c>
      <c r="B250" s="1">
        <f t="shared" si="17"/>
        <v>6</v>
      </c>
      <c r="C250" s="1">
        <f t="shared" si="16"/>
        <v>12</v>
      </c>
      <c r="D250" s="1">
        <f t="shared" si="16"/>
        <v>17</v>
      </c>
      <c r="E250" s="1" t="e">
        <f t="shared" si="16"/>
        <v>#VALUE!</v>
      </c>
      <c r="F250" s="3" t="e">
        <f>'Data In'!#REF!</f>
        <v>#REF!</v>
      </c>
      <c r="G250" s="4" t="e">
        <f>'Data In'!#REF!</f>
        <v>#REF!</v>
      </c>
      <c r="H250" s="3" t="e">
        <f t="shared" si="18"/>
        <v>#VALUE!</v>
      </c>
      <c r="I250" s="1" t="e">
        <f t="shared" si="19"/>
        <v>#REF!</v>
      </c>
      <c r="J250" s="1" t="e">
        <f>IF(Table15[[#This Row],[Rising Through Threshold]],Table15[[#This Row],[Start time]],J249)</f>
        <v>#REF!</v>
      </c>
      <c r="K250" s="1" t="e">
        <f>IF(AND(Table15[[#This Row],[Rising Through Threshold]],J249&gt;0),J250-J249,"")</f>
        <v>#REF!</v>
      </c>
    </row>
    <row r="251" spans="1:11" x14ac:dyDescent="0.45">
      <c r="A251" s="1" t="s">
        <v>268</v>
      </c>
      <c r="B251" s="1">
        <f t="shared" si="17"/>
        <v>6</v>
      </c>
      <c r="C251" s="1">
        <f t="shared" si="16"/>
        <v>12</v>
      </c>
      <c r="D251" s="1">
        <f t="shared" si="16"/>
        <v>17</v>
      </c>
      <c r="E251" s="1" t="e">
        <f t="shared" si="16"/>
        <v>#VALUE!</v>
      </c>
      <c r="F251" s="3" t="e">
        <f>'Data In'!#REF!</f>
        <v>#REF!</v>
      </c>
      <c r="G251" s="4" t="e">
        <f>'Data In'!#REF!</f>
        <v>#REF!</v>
      </c>
      <c r="H251" s="3" t="e">
        <f t="shared" si="18"/>
        <v>#VALUE!</v>
      </c>
      <c r="I251" s="1" t="e">
        <f t="shared" si="19"/>
        <v>#REF!</v>
      </c>
      <c r="J251" s="1" t="e">
        <f>IF(Table15[[#This Row],[Rising Through Threshold]],Table15[[#This Row],[Start time]],J250)</f>
        <v>#REF!</v>
      </c>
      <c r="K251" s="1" t="e">
        <f>IF(AND(Table15[[#This Row],[Rising Through Threshold]],J250&gt;0),J251-J250,"")</f>
        <v>#REF!</v>
      </c>
    </row>
    <row r="252" spans="1:11" x14ac:dyDescent="0.45">
      <c r="A252" s="1" t="s">
        <v>269</v>
      </c>
      <c r="B252" s="1">
        <f t="shared" si="17"/>
        <v>6</v>
      </c>
      <c r="C252" s="1">
        <f t="shared" si="16"/>
        <v>12</v>
      </c>
      <c r="D252" s="1">
        <f t="shared" si="16"/>
        <v>17</v>
      </c>
      <c r="E252" s="1" t="e">
        <f t="shared" si="16"/>
        <v>#VALUE!</v>
      </c>
      <c r="F252" s="3" t="e">
        <f>'Data In'!#REF!</f>
        <v>#REF!</v>
      </c>
      <c r="G252" s="4" t="e">
        <f>'Data In'!#REF!</f>
        <v>#REF!</v>
      </c>
      <c r="H252" s="3" t="e">
        <f t="shared" si="18"/>
        <v>#VALUE!</v>
      </c>
      <c r="I252" s="1" t="e">
        <f t="shared" si="19"/>
        <v>#REF!</v>
      </c>
      <c r="J252" s="1" t="e">
        <f>IF(Table15[[#This Row],[Rising Through Threshold]],Table15[[#This Row],[Start time]],J251)</f>
        <v>#REF!</v>
      </c>
      <c r="K252" s="1" t="e">
        <f>IF(AND(Table15[[#This Row],[Rising Through Threshold]],J251&gt;0),J252-J251,"")</f>
        <v>#REF!</v>
      </c>
    </row>
    <row r="253" spans="1:11" x14ac:dyDescent="0.45">
      <c r="A253" s="1" t="s">
        <v>270</v>
      </c>
      <c r="B253" s="1">
        <f t="shared" si="17"/>
        <v>6</v>
      </c>
      <c r="C253" s="1">
        <f t="shared" si="16"/>
        <v>12</v>
      </c>
      <c r="D253" s="1">
        <f t="shared" si="16"/>
        <v>17</v>
      </c>
      <c r="E253" s="1" t="e">
        <f t="shared" si="16"/>
        <v>#VALUE!</v>
      </c>
      <c r="F253" s="3" t="e">
        <f>'Data In'!#REF!</f>
        <v>#REF!</v>
      </c>
      <c r="G253" s="4" t="e">
        <f>'Data In'!#REF!</f>
        <v>#REF!</v>
      </c>
      <c r="H253" s="3" t="e">
        <f t="shared" si="18"/>
        <v>#VALUE!</v>
      </c>
      <c r="I253" s="1" t="e">
        <f t="shared" si="19"/>
        <v>#REF!</v>
      </c>
      <c r="J253" s="1" t="e">
        <f>IF(Table15[[#This Row],[Rising Through Threshold]],Table15[[#This Row],[Start time]],J252)</f>
        <v>#REF!</v>
      </c>
      <c r="K253" s="1" t="e">
        <f>IF(AND(Table15[[#This Row],[Rising Through Threshold]],J252&gt;0),J253-J252,"")</f>
        <v>#REF!</v>
      </c>
    </row>
    <row r="254" spans="1:11" x14ac:dyDescent="0.45">
      <c r="A254" s="1" t="s">
        <v>271</v>
      </c>
      <c r="B254" s="1">
        <f t="shared" si="17"/>
        <v>6</v>
      </c>
      <c r="C254" s="1">
        <f t="shared" si="16"/>
        <v>12</v>
      </c>
      <c r="D254" s="1">
        <f t="shared" si="16"/>
        <v>17</v>
      </c>
      <c r="E254" s="1" t="e">
        <f t="shared" si="16"/>
        <v>#VALUE!</v>
      </c>
      <c r="F254" s="3" t="e">
        <f>'Data In'!#REF!</f>
        <v>#REF!</v>
      </c>
      <c r="G254" s="4" t="e">
        <f>'Data In'!#REF!</f>
        <v>#REF!</v>
      </c>
      <c r="H254" s="3" t="e">
        <f t="shared" si="18"/>
        <v>#VALUE!</v>
      </c>
      <c r="I254" s="1" t="e">
        <f t="shared" si="19"/>
        <v>#REF!</v>
      </c>
      <c r="J254" s="1" t="e">
        <f>IF(Table15[[#This Row],[Rising Through Threshold]],Table15[[#This Row],[Start time]],J253)</f>
        <v>#REF!</v>
      </c>
      <c r="K254" s="1" t="e">
        <f>IF(AND(Table15[[#This Row],[Rising Through Threshold]],J253&gt;0),J254-J253,"")</f>
        <v>#REF!</v>
      </c>
    </row>
    <row r="255" spans="1:11" x14ac:dyDescent="0.45">
      <c r="A255" s="1" t="s">
        <v>272</v>
      </c>
      <c r="B255" s="1">
        <f t="shared" si="17"/>
        <v>6</v>
      </c>
      <c r="C255" s="1">
        <f t="shared" si="16"/>
        <v>12</v>
      </c>
      <c r="D255" s="1">
        <f t="shared" si="16"/>
        <v>17</v>
      </c>
      <c r="E255" s="1" t="e">
        <f t="shared" si="16"/>
        <v>#VALUE!</v>
      </c>
      <c r="F255" s="3" t="e">
        <f>'Data In'!#REF!</f>
        <v>#REF!</v>
      </c>
      <c r="G255" s="4" t="e">
        <f>'Data In'!#REF!</f>
        <v>#REF!</v>
      </c>
      <c r="H255" s="3" t="e">
        <f t="shared" si="18"/>
        <v>#VALUE!</v>
      </c>
      <c r="I255" s="1" t="e">
        <f t="shared" si="19"/>
        <v>#REF!</v>
      </c>
      <c r="J255" s="1" t="e">
        <f>IF(Table15[[#This Row],[Rising Through Threshold]],Table15[[#This Row],[Start time]],J254)</f>
        <v>#REF!</v>
      </c>
      <c r="K255" s="1" t="e">
        <f>IF(AND(Table15[[#This Row],[Rising Through Threshold]],J254&gt;0),J255-J254,"")</f>
        <v>#REF!</v>
      </c>
    </row>
    <row r="256" spans="1:11" x14ac:dyDescent="0.45">
      <c r="A256" s="1" t="s">
        <v>273</v>
      </c>
      <c r="B256" s="1">
        <f t="shared" si="17"/>
        <v>6</v>
      </c>
      <c r="C256" s="1">
        <f t="shared" ref="C256:E319" si="20">FIND(":",$A256,B256+1)</f>
        <v>12</v>
      </c>
      <c r="D256" s="1">
        <f t="shared" si="20"/>
        <v>17</v>
      </c>
      <c r="E256" s="1" t="e">
        <f t="shared" si="20"/>
        <v>#VALUE!</v>
      </c>
      <c r="F256" s="3" t="e">
        <f>'Data In'!#REF!</f>
        <v>#REF!</v>
      </c>
      <c r="G256" s="4" t="e">
        <f>'Data In'!#REF!</f>
        <v>#REF!</v>
      </c>
      <c r="H256" s="3" t="e">
        <f t="shared" si="18"/>
        <v>#VALUE!</v>
      </c>
      <c r="I256" s="1" t="e">
        <f t="shared" si="19"/>
        <v>#REF!</v>
      </c>
      <c r="J256" s="1" t="e">
        <f>IF(Table15[[#This Row],[Rising Through Threshold]],Table15[[#This Row],[Start time]],J255)</f>
        <v>#REF!</v>
      </c>
      <c r="K256" s="1" t="e">
        <f>IF(AND(Table15[[#This Row],[Rising Through Threshold]],J255&gt;0),J256-J255,"")</f>
        <v>#REF!</v>
      </c>
    </row>
    <row r="257" spans="1:11" x14ac:dyDescent="0.45">
      <c r="A257" s="1" t="s">
        <v>274</v>
      </c>
      <c r="B257" s="1">
        <f t="shared" si="17"/>
        <v>6</v>
      </c>
      <c r="C257" s="1">
        <f t="shared" si="20"/>
        <v>12</v>
      </c>
      <c r="D257" s="1">
        <f t="shared" si="20"/>
        <v>17</v>
      </c>
      <c r="E257" s="1" t="e">
        <f t="shared" si="20"/>
        <v>#VALUE!</v>
      </c>
      <c r="F257" s="3" t="e">
        <f>'Data In'!#REF!</f>
        <v>#REF!</v>
      </c>
      <c r="G257" s="4" t="e">
        <f>'Data In'!#REF!</f>
        <v>#REF!</v>
      </c>
      <c r="H257" s="3" t="e">
        <f t="shared" si="18"/>
        <v>#VALUE!</v>
      </c>
      <c r="I257" s="1" t="e">
        <f t="shared" si="19"/>
        <v>#REF!</v>
      </c>
      <c r="J257" s="1" t="e">
        <f>IF(Table15[[#This Row],[Rising Through Threshold]],Table15[[#This Row],[Start time]],J256)</f>
        <v>#REF!</v>
      </c>
      <c r="K257" s="1" t="e">
        <f>IF(AND(Table15[[#This Row],[Rising Through Threshold]],J256&gt;0),J257-J256,"")</f>
        <v>#REF!</v>
      </c>
    </row>
    <row r="258" spans="1:11" x14ac:dyDescent="0.45">
      <c r="A258" s="1" t="s">
        <v>275</v>
      </c>
      <c r="B258" s="1">
        <f t="shared" si="17"/>
        <v>6</v>
      </c>
      <c r="C258" s="1">
        <f t="shared" si="20"/>
        <v>12</v>
      </c>
      <c r="D258" s="1">
        <f t="shared" si="20"/>
        <v>17</v>
      </c>
      <c r="E258" s="1" t="e">
        <f t="shared" si="20"/>
        <v>#VALUE!</v>
      </c>
      <c r="F258" s="3" t="e">
        <f>'Data In'!#REF!</f>
        <v>#REF!</v>
      </c>
      <c r="G258" s="4" t="e">
        <f>'Data In'!#REF!</f>
        <v>#REF!</v>
      </c>
      <c r="H258" s="3" t="e">
        <f t="shared" si="18"/>
        <v>#VALUE!</v>
      </c>
      <c r="I258" s="1" t="e">
        <f t="shared" si="19"/>
        <v>#REF!</v>
      </c>
      <c r="J258" s="1" t="e">
        <f>IF(Table15[[#This Row],[Rising Through Threshold]],Table15[[#This Row],[Start time]],J257)</f>
        <v>#REF!</v>
      </c>
      <c r="K258" s="1" t="e">
        <f>IF(AND(Table15[[#This Row],[Rising Through Threshold]],J257&gt;0),J258-J257,"")</f>
        <v>#REF!</v>
      </c>
    </row>
    <row r="259" spans="1:11" x14ac:dyDescent="0.45">
      <c r="A259" s="1" t="s">
        <v>276</v>
      </c>
      <c r="B259" s="1">
        <f t="shared" ref="B259:B322" si="21">FIND(":",$A259,1)</f>
        <v>6</v>
      </c>
      <c r="C259" s="1">
        <f t="shared" si="20"/>
        <v>12</v>
      </c>
      <c r="D259" s="1">
        <f t="shared" si="20"/>
        <v>17</v>
      </c>
      <c r="E259" s="1" t="e">
        <f t="shared" si="20"/>
        <v>#VALUE!</v>
      </c>
      <c r="F259" s="3" t="e">
        <f>'Data In'!#REF!</f>
        <v>#REF!</v>
      </c>
      <c r="G259" s="4" t="e">
        <f>'Data In'!#REF!</f>
        <v>#REF!</v>
      </c>
      <c r="H259" s="3" t="e">
        <f t="shared" ref="H259:H322" si="22">_xlfn.NUMBERVALUE(MID($A259,E259+1,1000))</f>
        <v>#VALUE!</v>
      </c>
      <c r="I259" s="1" t="e">
        <f t="shared" si="19"/>
        <v>#REF!</v>
      </c>
      <c r="J259" s="1" t="e">
        <f>IF(Table15[[#This Row],[Rising Through Threshold]],Table15[[#This Row],[Start time]],J258)</f>
        <v>#REF!</v>
      </c>
      <c r="K259" s="1" t="e">
        <f>IF(AND(Table15[[#This Row],[Rising Through Threshold]],J258&gt;0),J259-J258,"")</f>
        <v>#REF!</v>
      </c>
    </row>
    <row r="260" spans="1:11" x14ac:dyDescent="0.45">
      <c r="A260" s="1" t="s">
        <v>277</v>
      </c>
      <c r="B260" s="1">
        <f t="shared" si="21"/>
        <v>6</v>
      </c>
      <c r="C260" s="1">
        <f t="shared" si="20"/>
        <v>12</v>
      </c>
      <c r="D260" s="1">
        <f t="shared" si="20"/>
        <v>17</v>
      </c>
      <c r="E260" s="1" t="e">
        <f t="shared" si="20"/>
        <v>#VALUE!</v>
      </c>
      <c r="F260" s="3" t="e">
        <f>'Data In'!#REF!</f>
        <v>#REF!</v>
      </c>
      <c r="G260" s="4" t="e">
        <f>'Data In'!#REF!</f>
        <v>#REF!</v>
      </c>
      <c r="H260" s="3" t="e">
        <f t="shared" si="22"/>
        <v>#VALUE!</v>
      </c>
      <c r="I260" s="1" t="e">
        <f t="shared" si="19"/>
        <v>#REF!</v>
      </c>
      <c r="J260" s="1" t="e">
        <f>IF(Table15[[#This Row],[Rising Through Threshold]],Table15[[#This Row],[Start time]],J259)</f>
        <v>#REF!</v>
      </c>
      <c r="K260" s="1" t="e">
        <f>IF(AND(Table15[[#This Row],[Rising Through Threshold]],J259&gt;0),J260-J259,"")</f>
        <v>#REF!</v>
      </c>
    </row>
    <row r="261" spans="1:11" x14ac:dyDescent="0.45">
      <c r="A261" s="1" t="s">
        <v>278</v>
      </c>
      <c r="B261" s="1">
        <f t="shared" si="21"/>
        <v>6</v>
      </c>
      <c r="C261" s="1">
        <f t="shared" si="20"/>
        <v>12</v>
      </c>
      <c r="D261" s="1">
        <f t="shared" si="20"/>
        <v>17</v>
      </c>
      <c r="E261" s="1" t="e">
        <f t="shared" si="20"/>
        <v>#VALUE!</v>
      </c>
      <c r="F261" s="3" t="e">
        <f>'Data In'!#REF!</f>
        <v>#REF!</v>
      </c>
      <c r="G261" s="4" t="e">
        <f>'Data In'!#REF!</f>
        <v>#REF!</v>
      </c>
      <c r="H261" s="3" t="e">
        <f t="shared" si="22"/>
        <v>#VALUE!</v>
      </c>
      <c r="I261" s="1" t="e">
        <f t="shared" si="19"/>
        <v>#REF!</v>
      </c>
      <c r="J261" s="1" t="e">
        <f>IF(Table15[[#This Row],[Rising Through Threshold]],Table15[[#This Row],[Start time]],J260)</f>
        <v>#REF!</v>
      </c>
      <c r="K261" s="1" t="e">
        <f>IF(AND(Table15[[#This Row],[Rising Through Threshold]],J260&gt;0),J261-J260,"")</f>
        <v>#REF!</v>
      </c>
    </row>
    <row r="262" spans="1:11" x14ac:dyDescent="0.45">
      <c r="A262" s="1" t="s">
        <v>279</v>
      </c>
      <c r="B262" s="1">
        <f t="shared" si="21"/>
        <v>6</v>
      </c>
      <c r="C262" s="1">
        <f t="shared" si="20"/>
        <v>12</v>
      </c>
      <c r="D262" s="1">
        <f t="shared" si="20"/>
        <v>17</v>
      </c>
      <c r="E262" s="1" t="e">
        <f t="shared" si="20"/>
        <v>#VALUE!</v>
      </c>
      <c r="F262" s="3" t="e">
        <f>'Data In'!#REF!</f>
        <v>#REF!</v>
      </c>
      <c r="G262" s="4" t="e">
        <f>'Data In'!#REF!</f>
        <v>#REF!</v>
      </c>
      <c r="H262" s="3" t="e">
        <f t="shared" si="22"/>
        <v>#VALUE!</v>
      </c>
      <c r="I262" s="1" t="e">
        <f t="shared" si="19"/>
        <v>#REF!</v>
      </c>
      <c r="J262" s="1" t="e">
        <f>IF(Table15[[#This Row],[Rising Through Threshold]],Table15[[#This Row],[Start time]],J261)</f>
        <v>#REF!</v>
      </c>
      <c r="K262" s="1" t="e">
        <f>IF(AND(Table15[[#This Row],[Rising Through Threshold]],J261&gt;0),J262-J261,"")</f>
        <v>#REF!</v>
      </c>
    </row>
    <row r="263" spans="1:11" x14ac:dyDescent="0.45">
      <c r="A263" s="1" t="s">
        <v>280</v>
      </c>
      <c r="B263" s="1">
        <f t="shared" si="21"/>
        <v>6</v>
      </c>
      <c r="C263" s="1">
        <f t="shared" si="20"/>
        <v>12</v>
      </c>
      <c r="D263" s="1">
        <f t="shared" si="20"/>
        <v>17</v>
      </c>
      <c r="E263" s="1" t="e">
        <f t="shared" si="20"/>
        <v>#VALUE!</v>
      </c>
      <c r="F263" s="3" t="e">
        <f>'Data In'!#REF!</f>
        <v>#REF!</v>
      </c>
      <c r="G263" s="4" t="e">
        <f>'Data In'!#REF!</f>
        <v>#REF!</v>
      </c>
      <c r="H263" s="3" t="e">
        <f t="shared" si="22"/>
        <v>#VALUE!</v>
      </c>
      <c r="I263" s="1" t="e">
        <f t="shared" si="19"/>
        <v>#REF!</v>
      </c>
      <c r="J263" s="1" t="e">
        <f>IF(Table15[[#This Row],[Rising Through Threshold]],Table15[[#This Row],[Start time]],J262)</f>
        <v>#REF!</v>
      </c>
      <c r="K263" s="1" t="e">
        <f>IF(AND(Table15[[#This Row],[Rising Through Threshold]],J262&gt;0),J263-J262,"")</f>
        <v>#REF!</v>
      </c>
    </row>
    <row r="264" spans="1:11" x14ac:dyDescent="0.45">
      <c r="A264" s="1" t="s">
        <v>281</v>
      </c>
      <c r="B264" s="1">
        <f t="shared" si="21"/>
        <v>6</v>
      </c>
      <c r="C264" s="1">
        <f t="shared" si="20"/>
        <v>12</v>
      </c>
      <c r="D264" s="1">
        <f t="shared" si="20"/>
        <v>17</v>
      </c>
      <c r="E264" s="1" t="e">
        <f t="shared" si="20"/>
        <v>#VALUE!</v>
      </c>
      <c r="F264" s="3" t="e">
        <f>'Data In'!#REF!</f>
        <v>#REF!</v>
      </c>
      <c r="G264" s="4" t="e">
        <f>'Data In'!#REF!</f>
        <v>#REF!</v>
      </c>
      <c r="H264" s="3" t="e">
        <f t="shared" si="22"/>
        <v>#VALUE!</v>
      </c>
      <c r="I264" s="1" t="e">
        <f t="shared" si="19"/>
        <v>#REF!</v>
      </c>
      <c r="J264" s="1" t="e">
        <f>IF(Table15[[#This Row],[Rising Through Threshold]],Table15[[#This Row],[Start time]],J263)</f>
        <v>#REF!</v>
      </c>
      <c r="K264" s="1" t="e">
        <f>IF(AND(Table15[[#This Row],[Rising Through Threshold]],J263&gt;0),J264-J263,"")</f>
        <v>#REF!</v>
      </c>
    </row>
    <row r="265" spans="1:11" x14ac:dyDescent="0.45">
      <c r="A265" s="1" t="s">
        <v>282</v>
      </c>
      <c r="B265" s="1">
        <f t="shared" si="21"/>
        <v>6</v>
      </c>
      <c r="C265" s="1">
        <f t="shared" si="20"/>
        <v>12</v>
      </c>
      <c r="D265" s="1">
        <f t="shared" si="20"/>
        <v>17</v>
      </c>
      <c r="E265" s="1" t="e">
        <f t="shared" si="20"/>
        <v>#VALUE!</v>
      </c>
      <c r="F265" s="3" t="e">
        <f>'Data In'!#REF!</f>
        <v>#REF!</v>
      </c>
      <c r="G265" s="4" t="e">
        <f>'Data In'!#REF!</f>
        <v>#REF!</v>
      </c>
      <c r="H265" s="3" t="e">
        <f t="shared" si="22"/>
        <v>#VALUE!</v>
      </c>
      <c r="I265" s="1" t="e">
        <f t="shared" si="19"/>
        <v>#REF!</v>
      </c>
      <c r="J265" s="1" t="e">
        <f>IF(Table15[[#This Row],[Rising Through Threshold]],Table15[[#This Row],[Start time]],J264)</f>
        <v>#REF!</v>
      </c>
      <c r="K265" s="1" t="e">
        <f>IF(AND(Table15[[#This Row],[Rising Through Threshold]],J264&gt;0),J265-J264,"")</f>
        <v>#REF!</v>
      </c>
    </row>
    <row r="266" spans="1:11" x14ac:dyDescent="0.45">
      <c r="A266" s="1" t="s">
        <v>283</v>
      </c>
      <c r="B266" s="1">
        <f t="shared" si="21"/>
        <v>6</v>
      </c>
      <c r="C266" s="1">
        <f t="shared" si="20"/>
        <v>12</v>
      </c>
      <c r="D266" s="1">
        <f t="shared" si="20"/>
        <v>17</v>
      </c>
      <c r="E266" s="1" t="e">
        <f t="shared" si="20"/>
        <v>#VALUE!</v>
      </c>
      <c r="F266" s="3" t="e">
        <f>'Data In'!#REF!</f>
        <v>#REF!</v>
      </c>
      <c r="G266" s="4" t="e">
        <f>'Data In'!#REF!</f>
        <v>#REF!</v>
      </c>
      <c r="H266" s="3" t="e">
        <f t="shared" si="22"/>
        <v>#VALUE!</v>
      </c>
      <c r="I266" s="1" t="e">
        <f t="shared" si="19"/>
        <v>#REF!</v>
      </c>
      <c r="J266" s="1" t="e">
        <f>IF(Table15[[#This Row],[Rising Through Threshold]],Table15[[#This Row],[Start time]],J265)</f>
        <v>#REF!</v>
      </c>
      <c r="K266" s="1" t="e">
        <f>IF(AND(Table15[[#This Row],[Rising Through Threshold]],J265&gt;0),J266-J265,"")</f>
        <v>#REF!</v>
      </c>
    </row>
    <row r="267" spans="1:11" x14ac:dyDescent="0.45">
      <c r="A267" s="1" t="s">
        <v>284</v>
      </c>
      <c r="B267" s="1">
        <f t="shared" si="21"/>
        <v>6</v>
      </c>
      <c r="C267" s="1">
        <f t="shared" si="20"/>
        <v>12</v>
      </c>
      <c r="D267" s="1">
        <f t="shared" si="20"/>
        <v>17</v>
      </c>
      <c r="E267" s="1" t="e">
        <f t="shared" si="20"/>
        <v>#VALUE!</v>
      </c>
      <c r="F267" s="3" t="e">
        <f>'Data In'!#REF!</f>
        <v>#REF!</v>
      </c>
      <c r="G267" s="4" t="e">
        <f>'Data In'!#REF!</f>
        <v>#REF!</v>
      </c>
      <c r="H267" s="3" t="e">
        <f t="shared" si="22"/>
        <v>#VALUE!</v>
      </c>
      <c r="I267" s="1" t="e">
        <f t="shared" si="19"/>
        <v>#REF!</v>
      </c>
      <c r="J267" s="1" t="e">
        <f>IF(Table15[[#This Row],[Rising Through Threshold]],Table15[[#This Row],[Start time]],J266)</f>
        <v>#REF!</v>
      </c>
      <c r="K267" s="1" t="e">
        <f>IF(AND(Table15[[#This Row],[Rising Through Threshold]],J266&gt;0),J267-J266,"")</f>
        <v>#REF!</v>
      </c>
    </row>
    <row r="268" spans="1:11" x14ac:dyDescent="0.45">
      <c r="A268" s="1" t="s">
        <v>285</v>
      </c>
      <c r="B268" s="1">
        <f t="shared" si="21"/>
        <v>6</v>
      </c>
      <c r="C268" s="1">
        <f t="shared" si="20"/>
        <v>12</v>
      </c>
      <c r="D268" s="1">
        <f t="shared" si="20"/>
        <v>17</v>
      </c>
      <c r="E268" s="1" t="e">
        <f t="shared" si="20"/>
        <v>#VALUE!</v>
      </c>
      <c r="F268" s="3" t="e">
        <f>'Data In'!#REF!</f>
        <v>#REF!</v>
      </c>
      <c r="G268" s="4" t="e">
        <f>'Data In'!#REF!</f>
        <v>#REF!</v>
      </c>
      <c r="H268" s="3" t="e">
        <f t="shared" si="22"/>
        <v>#VALUE!</v>
      </c>
      <c r="I268" s="1" t="e">
        <f t="shared" si="19"/>
        <v>#REF!</v>
      </c>
      <c r="J268" s="1" t="e">
        <f>IF(Table15[[#This Row],[Rising Through Threshold]],Table15[[#This Row],[Start time]],J267)</f>
        <v>#REF!</v>
      </c>
      <c r="K268" s="1" t="e">
        <f>IF(AND(Table15[[#This Row],[Rising Through Threshold]],J267&gt;0),J268-J267,"")</f>
        <v>#REF!</v>
      </c>
    </row>
    <row r="269" spans="1:11" x14ac:dyDescent="0.45">
      <c r="A269" s="1" t="s">
        <v>286</v>
      </c>
      <c r="B269" s="1">
        <f t="shared" si="21"/>
        <v>6</v>
      </c>
      <c r="C269" s="1">
        <f t="shared" si="20"/>
        <v>12</v>
      </c>
      <c r="D269" s="1">
        <f t="shared" si="20"/>
        <v>17</v>
      </c>
      <c r="E269" s="1" t="e">
        <f t="shared" si="20"/>
        <v>#VALUE!</v>
      </c>
      <c r="F269" s="3" t="e">
        <f>'Data In'!#REF!</f>
        <v>#REF!</v>
      </c>
      <c r="G269" s="4" t="e">
        <f>'Data In'!#REF!</f>
        <v>#REF!</v>
      </c>
      <c r="H269" s="3" t="e">
        <f t="shared" si="22"/>
        <v>#VALUE!</v>
      </c>
      <c r="I269" s="1" t="e">
        <f t="shared" si="19"/>
        <v>#REF!</v>
      </c>
      <c r="J269" s="1" t="e">
        <f>IF(Table15[[#This Row],[Rising Through Threshold]],Table15[[#This Row],[Start time]],J268)</f>
        <v>#REF!</v>
      </c>
      <c r="K269" s="1" t="e">
        <f>IF(AND(Table15[[#This Row],[Rising Through Threshold]],J268&gt;0),J269-J268,"")</f>
        <v>#REF!</v>
      </c>
    </row>
    <row r="270" spans="1:11" x14ac:dyDescent="0.45">
      <c r="A270" s="1" t="s">
        <v>287</v>
      </c>
      <c r="B270" s="1">
        <f t="shared" si="21"/>
        <v>6</v>
      </c>
      <c r="C270" s="1">
        <f t="shared" si="20"/>
        <v>12</v>
      </c>
      <c r="D270" s="1">
        <f t="shared" si="20"/>
        <v>17</v>
      </c>
      <c r="E270" s="1" t="e">
        <f t="shared" si="20"/>
        <v>#VALUE!</v>
      </c>
      <c r="F270" s="3" t="e">
        <f>'Data In'!#REF!</f>
        <v>#REF!</v>
      </c>
      <c r="G270" s="4" t="e">
        <f>'Data In'!#REF!</f>
        <v>#REF!</v>
      </c>
      <c r="H270" s="3" t="e">
        <f t="shared" si="22"/>
        <v>#VALUE!</v>
      </c>
      <c r="I270" s="1" t="e">
        <f t="shared" si="19"/>
        <v>#REF!</v>
      </c>
      <c r="J270" s="1" t="e">
        <f>IF(Table15[[#This Row],[Rising Through Threshold]],Table15[[#This Row],[Start time]],J269)</f>
        <v>#REF!</v>
      </c>
      <c r="K270" s="1" t="e">
        <f>IF(AND(Table15[[#This Row],[Rising Through Threshold]],J269&gt;0),J270-J269,"")</f>
        <v>#REF!</v>
      </c>
    </row>
    <row r="271" spans="1:11" x14ac:dyDescent="0.45">
      <c r="A271" s="1" t="s">
        <v>288</v>
      </c>
      <c r="B271" s="1">
        <f t="shared" si="21"/>
        <v>6</v>
      </c>
      <c r="C271" s="1">
        <f t="shared" si="20"/>
        <v>12</v>
      </c>
      <c r="D271" s="1">
        <f t="shared" si="20"/>
        <v>17</v>
      </c>
      <c r="E271" s="1" t="e">
        <f t="shared" si="20"/>
        <v>#VALUE!</v>
      </c>
      <c r="F271" s="3" t="e">
        <f>'Data In'!#REF!</f>
        <v>#REF!</v>
      </c>
      <c r="G271" s="4" t="e">
        <f>'Data In'!#REF!</f>
        <v>#REF!</v>
      </c>
      <c r="H271" s="3" t="e">
        <f t="shared" si="22"/>
        <v>#VALUE!</v>
      </c>
      <c r="I271" s="1" t="e">
        <f t="shared" si="19"/>
        <v>#REF!</v>
      </c>
      <c r="J271" s="1" t="e">
        <f>IF(Table15[[#This Row],[Rising Through Threshold]],Table15[[#This Row],[Start time]],J270)</f>
        <v>#REF!</v>
      </c>
      <c r="K271" s="1" t="e">
        <f>IF(AND(Table15[[#This Row],[Rising Through Threshold]],J270&gt;0),J271-J270,"")</f>
        <v>#REF!</v>
      </c>
    </row>
    <row r="272" spans="1:11" x14ac:dyDescent="0.45">
      <c r="A272" s="1" t="s">
        <v>289</v>
      </c>
      <c r="B272" s="1">
        <f t="shared" si="21"/>
        <v>6</v>
      </c>
      <c r="C272" s="1">
        <f t="shared" si="20"/>
        <v>12</v>
      </c>
      <c r="D272" s="1">
        <f t="shared" si="20"/>
        <v>17</v>
      </c>
      <c r="E272" s="1" t="e">
        <f t="shared" si="20"/>
        <v>#VALUE!</v>
      </c>
      <c r="F272" s="3" t="e">
        <f>'Data In'!#REF!</f>
        <v>#REF!</v>
      </c>
      <c r="G272" s="4" t="e">
        <f>'Data In'!#REF!</f>
        <v>#REF!</v>
      </c>
      <c r="H272" s="3" t="e">
        <f t="shared" si="22"/>
        <v>#VALUE!</v>
      </c>
      <c r="I272" s="1" t="e">
        <f t="shared" si="19"/>
        <v>#REF!</v>
      </c>
      <c r="J272" s="1" t="e">
        <f>IF(Table15[[#This Row],[Rising Through Threshold]],Table15[[#This Row],[Start time]],J271)</f>
        <v>#REF!</v>
      </c>
      <c r="K272" s="1" t="e">
        <f>IF(AND(Table15[[#This Row],[Rising Through Threshold]],J271&gt;0),J272-J271,"")</f>
        <v>#REF!</v>
      </c>
    </row>
    <row r="273" spans="1:11" x14ac:dyDescent="0.45">
      <c r="A273" s="1" t="s">
        <v>290</v>
      </c>
      <c r="B273" s="1">
        <f t="shared" si="21"/>
        <v>6</v>
      </c>
      <c r="C273" s="1">
        <f t="shared" si="20"/>
        <v>12</v>
      </c>
      <c r="D273" s="1">
        <f t="shared" si="20"/>
        <v>17</v>
      </c>
      <c r="E273" s="1" t="e">
        <f t="shared" si="20"/>
        <v>#VALUE!</v>
      </c>
      <c r="F273" s="3" t="e">
        <f>'Data In'!#REF!</f>
        <v>#REF!</v>
      </c>
      <c r="G273" s="4" t="e">
        <f>'Data In'!#REF!</f>
        <v>#REF!</v>
      </c>
      <c r="H273" s="3" t="e">
        <f t="shared" si="22"/>
        <v>#VALUE!</v>
      </c>
      <c r="I273" s="1" t="e">
        <f t="shared" si="19"/>
        <v>#REF!</v>
      </c>
      <c r="J273" s="1" t="e">
        <f>IF(Table15[[#This Row],[Rising Through Threshold]],Table15[[#This Row],[Start time]],J272)</f>
        <v>#REF!</v>
      </c>
      <c r="K273" s="1" t="e">
        <f>IF(AND(Table15[[#This Row],[Rising Through Threshold]],J272&gt;0),J273-J272,"")</f>
        <v>#REF!</v>
      </c>
    </row>
    <row r="274" spans="1:11" x14ac:dyDescent="0.45">
      <c r="A274" s="1" t="s">
        <v>291</v>
      </c>
      <c r="B274" s="1">
        <f t="shared" si="21"/>
        <v>6</v>
      </c>
      <c r="C274" s="1">
        <f t="shared" si="20"/>
        <v>12</v>
      </c>
      <c r="D274" s="1">
        <f t="shared" si="20"/>
        <v>17</v>
      </c>
      <c r="E274" s="1" t="e">
        <f t="shared" si="20"/>
        <v>#VALUE!</v>
      </c>
      <c r="F274" s="3" t="e">
        <f>'Data In'!#REF!</f>
        <v>#REF!</v>
      </c>
      <c r="G274" s="4" t="e">
        <f>'Data In'!#REF!</f>
        <v>#REF!</v>
      </c>
      <c r="H274" s="3" t="e">
        <f t="shared" si="22"/>
        <v>#VALUE!</v>
      </c>
      <c r="I274" s="1" t="e">
        <f t="shared" si="19"/>
        <v>#REF!</v>
      </c>
      <c r="J274" s="1" t="e">
        <f>IF(Table15[[#This Row],[Rising Through Threshold]],Table15[[#This Row],[Start time]],J273)</f>
        <v>#REF!</v>
      </c>
      <c r="K274" s="1" t="e">
        <f>IF(AND(Table15[[#This Row],[Rising Through Threshold]],J273&gt;0),J274-J273,"")</f>
        <v>#REF!</v>
      </c>
    </row>
    <row r="275" spans="1:11" x14ac:dyDescent="0.45">
      <c r="A275" s="1" t="s">
        <v>292</v>
      </c>
      <c r="B275" s="1">
        <f t="shared" si="21"/>
        <v>6</v>
      </c>
      <c r="C275" s="1">
        <f t="shared" si="20"/>
        <v>12</v>
      </c>
      <c r="D275" s="1">
        <f t="shared" si="20"/>
        <v>17</v>
      </c>
      <c r="E275" s="1" t="e">
        <f t="shared" si="20"/>
        <v>#VALUE!</v>
      </c>
      <c r="F275" s="3" t="e">
        <f>'Data In'!#REF!</f>
        <v>#REF!</v>
      </c>
      <c r="G275" s="4" t="e">
        <f>'Data In'!#REF!</f>
        <v>#REF!</v>
      </c>
      <c r="H275" s="3" t="e">
        <f t="shared" si="22"/>
        <v>#VALUE!</v>
      </c>
      <c r="I275" s="1" t="e">
        <f t="shared" si="19"/>
        <v>#REF!</v>
      </c>
      <c r="J275" s="1" t="e">
        <f>IF(Table15[[#This Row],[Rising Through Threshold]],Table15[[#This Row],[Start time]],J274)</f>
        <v>#REF!</v>
      </c>
      <c r="K275" s="1" t="e">
        <f>IF(AND(Table15[[#This Row],[Rising Through Threshold]],J274&gt;0),J275-J274,"")</f>
        <v>#REF!</v>
      </c>
    </row>
    <row r="276" spans="1:11" x14ac:dyDescent="0.45">
      <c r="A276" s="1" t="s">
        <v>293</v>
      </c>
      <c r="B276" s="1">
        <f t="shared" si="21"/>
        <v>6</v>
      </c>
      <c r="C276" s="1">
        <f t="shared" si="20"/>
        <v>12</v>
      </c>
      <c r="D276" s="1">
        <f t="shared" si="20"/>
        <v>17</v>
      </c>
      <c r="E276" s="1" t="e">
        <f t="shared" si="20"/>
        <v>#VALUE!</v>
      </c>
      <c r="F276" s="3" t="e">
        <f>'Data In'!#REF!</f>
        <v>#REF!</v>
      </c>
      <c r="G276" s="4" t="e">
        <f>'Data In'!#REF!</f>
        <v>#REF!</v>
      </c>
      <c r="H276" s="3" t="e">
        <f t="shared" si="22"/>
        <v>#VALUE!</v>
      </c>
      <c r="I276" s="1" t="e">
        <f t="shared" si="19"/>
        <v>#REF!</v>
      </c>
      <c r="J276" s="1" t="e">
        <f>IF(Table15[[#This Row],[Rising Through Threshold]],Table15[[#This Row],[Start time]],J275)</f>
        <v>#REF!</v>
      </c>
      <c r="K276" s="1" t="e">
        <f>IF(AND(Table15[[#This Row],[Rising Through Threshold]],J275&gt;0),J276-J275,"")</f>
        <v>#REF!</v>
      </c>
    </row>
    <row r="277" spans="1:11" x14ac:dyDescent="0.45">
      <c r="A277" s="1" t="s">
        <v>294</v>
      </c>
      <c r="B277" s="1">
        <f t="shared" si="21"/>
        <v>6</v>
      </c>
      <c r="C277" s="1">
        <f t="shared" si="20"/>
        <v>12</v>
      </c>
      <c r="D277" s="1">
        <f t="shared" si="20"/>
        <v>17</v>
      </c>
      <c r="E277" s="1" t="e">
        <f t="shared" si="20"/>
        <v>#VALUE!</v>
      </c>
      <c r="F277" s="3" t="e">
        <f>'Data In'!#REF!</f>
        <v>#REF!</v>
      </c>
      <c r="G277" s="4" t="e">
        <f>'Data In'!#REF!</f>
        <v>#REF!</v>
      </c>
      <c r="H277" s="3" t="e">
        <f t="shared" si="22"/>
        <v>#VALUE!</v>
      </c>
      <c r="I277" s="1" t="e">
        <f t="shared" si="19"/>
        <v>#REF!</v>
      </c>
      <c r="J277" s="1" t="e">
        <f>IF(Table15[[#This Row],[Rising Through Threshold]],Table15[[#This Row],[Start time]],J276)</f>
        <v>#REF!</v>
      </c>
      <c r="K277" s="1" t="e">
        <f>IF(AND(Table15[[#This Row],[Rising Through Threshold]],J276&gt;0),J277-J276,"")</f>
        <v>#REF!</v>
      </c>
    </row>
    <row r="278" spans="1:11" x14ac:dyDescent="0.45">
      <c r="A278" s="1" t="s">
        <v>295</v>
      </c>
      <c r="B278" s="1">
        <f t="shared" si="21"/>
        <v>6</v>
      </c>
      <c r="C278" s="1">
        <f t="shared" si="20"/>
        <v>12</v>
      </c>
      <c r="D278" s="1">
        <f t="shared" si="20"/>
        <v>17</v>
      </c>
      <c r="E278" s="1" t="e">
        <f t="shared" si="20"/>
        <v>#VALUE!</v>
      </c>
      <c r="F278" s="3" t="e">
        <f>'Data In'!#REF!</f>
        <v>#REF!</v>
      </c>
      <c r="G278" s="4" t="e">
        <f>'Data In'!#REF!</f>
        <v>#REF!</v>
      </c>
      <c r="H278" s="3" t="e">
        <f t="shared" si="22"/>
        <v>#VALUE!</v>
      </c>
      <c r="I278" s="1" t="e">
        <f t="shared" si="19"/>
        <v>#REF!</v>
      </c>
      <c r="J278" s="1" t="e">
        <f>IF(Table15[[#This Row],[Rising Through Threshold]],Table15[[#This Row],[Start time]],J277)</f>
        <v>#REF!</v>
      </c>
      <c r="K278" s="1" t="e">
        <f>IF(AND(Table15[[#This Row],[Rising Through Threshold]],J277&gt;0),J278-J277,"")</f>
        <v>#REF!</v>
      </c>
    </row>
    <row r="279" spans="1:11" x14ac:dyDescent="0.45">
      <c r="A279" s="1" t="s">
        <v>296</v>
      </c>
      <c r="B279" s="1">
        <f t="shared" si="21"/>
        <v>6</v>
      </c>
      <c r="C279" s="1">
        <f t="shared" si="20"/>
        <v>12</v>
      </c>
      <c r="D279" s="1">
        <f t="shared" si="20"/>
        <v>17</v>
      </c>
      <c r="E279" s="1" t="e">
        <f t="shared" si="20"/>
        <v>#VALUE!</v>
      </c>
      <c r="F279" s="3" t="e">
        <f>'Data In'!#REF!</f>
        <v>#REF!</v>
      </c>
      <c r="G279" s="4" t="e">
        <f>'Data In'!#REF!</f>
        <v>#REF!</v>
      </c>
      <c r="H279" s="3" t="e">
        <f t="shared" si="22"/>
        <v>#VALUE!</v>
      </c>
      <c r="I279" s="1" t="e">
        <f t="shared" si="19"/>
        <v>#REF!</v>
      </c>
      <c r="J279" s="1" t="e">
        <f>IF(Table15[[#This Row],[Rising Through Threshold]],Table15[[#This Row],[Start time]],J278)</f>
        <v>#REF!</v>
      </c>
      <c r="K279" s="1" t="e">
        <f>IF(AND(Table15[[#This Row],[Rising Through Threshold]],J278&gt;0),J279-J278,"")</f>
        <v>#REF!</v>
      </c>
    </row>
    <row r="280" spans="1:11" x14ac:dyDescent="0.45">
      <c r="A280" s="1" t="s">
        <v>297</v>
      </c>
      <c r="B280" s="1">
        <f t="shared" si="21"/>
        <v>6</v>
      </c>
      <c r="C280" s="1">
        <f t="shared" si="20"/>
        <v>12</v>
      </c>
      <c r="D280" s="1">
        <f t="shared" si="20"/>
        <v>17</v>
      </c>
      <c r="E280" s="1" t="e">
        <f t="shared" si="20"/>
        <v>#VALUE!</v>
      </c>
      <c r="F280" s="3" t="e">
        <f>'Data In'!#REF!</f>
        <v>#REF!</v>
      </c>
      <c r="G280" s="4" t="e">
        <f>'Data In'!#REF!</f>
        <v>#REF!</v>
      </c>
      <c r="H280" s="3" t="e">
        <f t="shared" si="22"/>
        <v>#VALUE!</v>
      </c>
      <c r="I280" s="1" t="e">
        <f t="shared" si="19"/>
        <v>#REF!</v>
      </c>
      <c r="J280" s="1" t="e">
        <f>IF(Table15[[#This Row],[Rising Through Threshold]],Table15[[#This Row],[Start time]],J279)</f>
        <v>#REF!</v>
      </c>
      <c r="K280" s="1" t="e">
        <f>IF(AND(Table15[[#This Row],[Rising Through Threshold]],J279&gt;0),J280-J279,"")</f>
        <v>#REF!</v>
      </c>
    </row>
    <row r="281" spans="1:11" x14ac:dyDescent="0.45">
      <c r="A281" s="1" t="s">
        <v>298</v>
      </c>
      <c r="B281" s="1">
        <f t="shared" si="21"/>
        <v>6</v>
      </c>
      <c r="C281" s="1">
        <f t="shared" si="20"/>
        <v>12</v>
      </c>
      <c r="D281" s="1">
        <f t="shared" si="20"/>
        <v>17</v>
      </c>
      <c r="E281" s="1" t="e">
        <f t="shared" si="20"/>
        <v>#VALUE!</v>
      </c>
      <c r="F281" s="3" t="e">
        <f>'Data In'!#REF!</f>
        <v>#REF!</v>
      </c>
      <c r="G281" s="4" t="e">
        <f>'Data In'!#REF!</f>
        <v>#REF!</v>
      </c>
      <c r="H281" s="3" t="e">
        <f t="shared" si="22"/>
        <v>#VALUE!</v>
      </c>
      <c r="I281" s="1" t="e">
        <f t="shared" si="19"/>
        <v>#REF!</v>
      </c>
      <c r="J281" s="1" t="e">
        <f>IF(Table15[[#This Row],[Rising Through Threshold]],Table15[[#This Row],[Start time]],J280)</f>
        <v>#REF!</v>
      </c>
      <c r="K281" s="1" t="e">
        <f>IF(AND(Table15[[#This Row],[Rising Through Threshold]],J280&gt;0),J281-J280,"")</f>
        <v>#REF!</v>
      </c>
    </row>
    <row r="282" spans="1:11" x14ac:dyDescent="0.45">
      <c r="A282" s="1" t="s">
        <v>299</v>
      </c>
      <c r="B282" s="1">
        <f t="shared" si="21"/>
        <v>6</v>
      </c>
      <c r="C282" s="1">
        <f t="shared" si="20"/>
        <v>12</v>
      </c>
      <c r="D282" s="1">
        <f t="shared" si="20"/>
        <v>17</v>
      </c>
      <c r="E282" s="1" t="e">
        <f t="shared" si="20"/>
        <v>#VALUE!</v>
      </c>
      <c r="F282" s="3" t="e">
        <f>'Data In'!#REF!</f>
        <v>#REF!</v>
      </c>
      <c r="G282" s="4" t="e">
        <f>'Data In'!#REF!</f>
        <v>#REF!</v>
      </c>
      <c r="H282" s="3" t="e">
        <f t="shared" si="22"/>
        <v>#VALUE!</v>
      </c>
      <c r="I282" s="1" t="e">
        <f t="shared" si="19"/>
        <v>#REF!</v>
      </c>
      <c r="J282" s="1" t="e">
        <f>IF(Table15[[#This Row],[Rising Through Threshold]],Table15[[#This Row],[Start time]],J281)</f>
        <v>#REF!</v>
      </c>
      <c r="K282" s="1" t="e">
        <f>IF(AND(Table15[[#This Row],[Rising Through Threshold]],J281&gt;0),J282-J281,"")</f>
        <v>#REF!</v>
      </c>
    </row>
    <row r="283" spans="1:11" x14ac:dyDescent="0.45">
      <c r="A283" s="1" t="s">
        <v>300</v>
      </c>
      <c r="B283" s="1">
        <f t="shared" si="21"/>
        <v>6</v>
      </c>
      <c r="C283" s="1">
        <f t="shared" si="20"/>
        <v>12</v>
      </c>
      <c r="D283" s="1">
        <f t="shared" si="20"/>
        <v>17</v>
      </c>
      <c r="E283" s="1" t="e">
        <f t="shared" si="20"/>
        <v>#VALUE!</v>
      </c>
      <c r="F283" s="3" t="e">
        <f>'Data In'!#REF!</f>
        <v>#REF!</v>
      </c>
      <c r="G283" s="4" t="e">
        <f>'Data In'!#REF!</f>
        <v>#REF!</v>
      </c>
      <c r="H283" s="3" t="e">
        <f t="shared" si="22"/>
        <v>#VALUE!</v>
      </c>
      <c r="I283" s="1" t="e">
        <f t="shared" si="19"/>
        <v>#REF!</v>
      </c>
      <c r="J283" s="1" t="e">
        <f>IF(Table15[[#This Row],[Rising Through Threshold]],Table15[[#This Row],[Start time]],J282)</f>
        <v>#REF!</v>
      </c>
      <c r="K283" s="1" t="e">
        <f>IF(AND(Table15[[#This Row],[Rising Through Threshold]],J282&gt;0),J283-J282,"")</f>
        <v>#REF!</v>
      </c>
    </row>
    <row r="284" spans="1:11" x14ac:dyDescent="0.45">
      <c r="A284" s="1" t="s">
        <v>301</v>
      </c>
      <c r="B284" s="1">
        <f t="shared" si="21"/>
        <v>6</v>
      </c>
      <c r="C284" s="1">
        <f t="shared" si="20"/>
        <v>12</v>
      </c>
      <c r="D284" s="1">
        <f t="shared" si="20"/>
        <v>17</v>
      </c>
      <c r="E284" s="1" t="e">
        <f t="shared" si="20"/>
        <v>#VALUE!</v>
      </c>
      <c r="F284" s="3" t="e">
        <f>'Data In'!#REF!</f>
        <v>#REF!</v>
      </c>
      <c r="G284" s="4" t="e">
        <f>'Data In'!#REF!</f>
        <v>#REF!</v>
      </c>
      <c r="H284" s="3" t="e">
        <f t="shared" si="22"/>
        <v>#VALUE!</v>
      </c>
      <c r="I284" s="1" t="e">
        <f t="shared" si="19"/>
        <v>#REF!</v>
      </c>
      <c r="J284" s="1" t="e">
        <f>IF(Table15[[#This Row],[Rising Through Threshold]],Table15[[#This Row],[Start time]],J283)</f>
        <v>#REF!</v>
      </c>
      <c r="K284" s="1" t="e">
        <f>IF(AND(Table15[[#This Row],[Rising Through Threshold]],J283&gt;0),J284-J283,"")</f>
        <v>#REF!</v>
      </c>
    </row>
    <row r="285" spans="1:11" x14ac:dyDescent="0.45">
      <c r="A285" s="1" t="s">
        <v>302</v>
      </c>
      <c r="B285" s="1">
        <f t="shared" si="21"/>
        <v>6</v>
      </c>
      <c r="C285" s="1">
        <f t="shared" si="20"/>
        <v>12</v>
      </c>
      <c r="D285" s="1">
        <f t="shared" si="20"/>
        <v>17</v>
      </c>
      <c r="E285" s="1" t="e">
        <f t="shared" si="20"/>
        <v>#VALUE!</v>
      </c>
      <c r="F285" s="3" t="e">
        <f>'Data In'!#REF!</f>
        <v>#REF!</v>
      </c>
      <c r="G285" s="4" t="e">
        <f>'Data In'!#REF!</f>
        <v>#REF!</v>
      </c>
      <c r="H285" s="3" t="e">
        <f t="shared" si="22"/>
        <v>#VALUE!</v>
      </c>
      <c r="I285" s="1" t="e">
        <f t="shared" si="19"/>
        <v>#REF!</v>
      </c>
      <c r="J285" s="1" t="e">
        <f>IF(Table15[[#This Row],[Rising Through Threshold]],Table15[[#This Row],[Start time]],J284)</f>
        <v>#REF!</v>
      </c>
      <c r="K285" s="1" t="e">
        <f>IF(AND(Table15[[#This Row],[Rising Through Threshold]],J284&gt;0),J285-J284,"")</f>
        <v>#REF!</v>
      </c>
    </row>
    <row r="286" spans="1:11" x14ac:dyDescent="0.45">
      <c r="A286" s="1" t="s">
        <v>303</v>
      </c>
      <c r="B286" s="1">
        <f t="shared" si="21"/>
        <v>6</v>
      </c>
      <c r="C286" s="1">
        <f t="shared" si="20"/>
        <v>12</v>
      </c>
      <c r="D286" s="1">
        <f t="shared" si="20"/>
        <v>17</v>
      </c>
      <c r="E286" s="1" t="e">
        <f t="shared" si="20"/>
        <v>#VALUE!</v>
      </c>
      <c r="F286" s="3" t="e">
        <f>'Data In'!#REF!</f>
        <v>#REF!</v>
      </c>
      <c r="G286" s="4" t="e">
        <f>'Data In'!#REF!</f>
        <v>#REF!</v>
      </c>
      <c r="H286" s="3" t="e">
        <f t="shared" si="22"/>
        <v>#VALUE!</v>
      </c>
      <c r="I286" s="1" t="e">
        <f t="shared" si="19"/>
        <v>#REF!</v>
      </c>
      <c r="J286" s="1" t="e">
        <f>IF(Table15[[#This Row],[Rising Through Threshold]],Table15[[#This Row],[Start time]],J285)</f>
        <v>#REF!</v>
      </c>
      <c r="K286" s="1" t="e">
        <f>IF(AND(Table15[[#This Row],[Rising Through Threshold]],J285&gt;0),J286-J285,"")</f>
        <v>#REF!</v>
      </c>
    </row>
    <row r="287" spans="1:11" x14ac:dyDescent="0.45">
      <c r="A287" s="1" t="s">
        <v>304</v>
      </c>
      <c r="B287" s="1">
        <f t="shared" si="21"/>
        <v>6</v>
      </c>
      <c r="C287" s="1">
        <f t="shared" si="20"/>
        <v>12</v>
      </c>
      <c r="D287" s="1">
        <f t="shared" si="20"/>
        <v>17</v>
      </c>
      <c r="E287" s="1" t="e">
        <f t="shared" si="20"/>
        <v>#VALUE!</v>
      </c>
      <c r="F287" s="3" t="e">
        <f>'Data In'!#REF!</f>
        <v>#REF!</v>
      </c>
      <c r="G287" s="4" t="e">
        <f>'Data In'!#REF!</f>
        <v>#REF!</v>
      </c>
      <c r="H287" s="3" t="e">
        <f t="shared" si="22"/>
        <v>#VALUE!</v>
      </c>
      <c r="I287" s="1" t="e">
        <f t="shared" si="19"/>
        <v>#REF!</v>
      </c>
      <c r="J287" s="1" t="e">
        <f>IF(Table15[[#This Row],[Rising Through Threshold]],Table15[[#This Row],[Start time]],J286)</f>
        <v>#REF!</v>
      </c>
      <c r="K287" s="1" t="e">
        <f>IF(AND(Table15[[#This Row],[Rising Through Threshold]],J286&gt;0),J287-J286,"")</f>
        <v>#REF!</v>
      </c>
    </row>
    <row r="288" spans="1:11" x14ac:dyDescent="0.45">
      <c r="A288" s="1" t="s">
        <v>305</v>
      </c>
      <c r="B288" s="1">
        <f t="shared" si="21"/>
        <v>6</v>
      </c>
      <c r="C288" s="1">
        <f t="shared" si="20"/>
        <v>12</v>
      </c>
      <c r="D288" s="1">
        <f t="shared" si="20"/>
        <v>17</v>
      </c>
      <c r="E288" s="1" t="e">
        <f t="shared" si="20"/>
        <v>#VALUE!</v>
      </c>
      <c r="F288" s="3" t="e">
        <f>'Data In'!#REF!</f>
        <v>#REF!</v>
      </c>
      <c r="G288" s="4" t="e">
        <f>'Data In'!#REF!</f>
        <v>#REF!</v>
      </c>
      <c r="H288" s="3" t="e">
        <f t="shared" si="22"/>
        <v>#VALUE!</v>
      </c>
      <c r="I288" s="1" t="e">
        <f t="shared" si="19"/>
        <v>#REF!</v>
      </c>
      <c r="J288" s="1" t="e">
        <f>IF(Table15[[#This Row],[Rising Through Threshold]],Table15[[#This Row],[Start time]],J287)</f>
        <v>#REF!</v>
      </c>
      <c r="K288" s="1" t="e">
        <f>IF(AND(Table15[[#This Row],[Rising Through Threshold]],J287&gt;0),J288-J287,"")</f>
        <v>#REF!</v>
      </c>
    </row>
    <row r="289" spans="1:11" x14ac:dyDescent="0.45">
      <c r="A289" s="1" t="s">
        <v>306</v>
      </c>
      <c r="B289" s="1">
        <f t="shared" si="21"/>
        <v>6</v>
      </c>
      <c r="C289" s="1">
        <f t="shared" si="20"/>
        <v>12</v>
      </c>
      <c r="D289" s="1">
        <f t="shared" si="20"/>
        <v>17</v>
      </c>
      <c r="E289" s="1" t="e">
        <f t="shared" si="20"/>
        <v>#VALUE!</v>
      </c>
      <c r="F289" s="3" t="e">
        <f>'Data In'!#REF!</f>
        <v>#REF!</v>
      </c>
      <c r="G289" s="4" t="e">
        <f>'Data In'!#REF!</f>
        <v>#REF!</v>
      </c>
      <c r="H289" s="3" t="e">
        <f t="shared" si="22"/>
        <v>#VALUE!</v>
      </c>
      <c r="I289" s="1" t="e">
        <f t="shared" si="19"/>
        <v>#REF!</v>
      </c>
      <c r="J289" s="1" t="e">
        <f>IF(Table15[[#This Row],[Rising Through Threshold]],Table15[[#This Row],[Start time]],J288)</f>
        <v>#REF!</v>
      </c>
      <c r="K289" s="1" t="e">
        <f>IF(AND(Table15[[#This Row],[Rising Through Threshold]],J288&gt;0),J289-J288,"")</f>
        <v>#REF!</v>
      </c>
    </row>
    <row r="290" spans="1:11" x14ac:dyDescent="0.45">
      <c r="A290" s="1" t="s">
        <v>307</v>
      </c>
      <c r="B290" s="1">
        <f t="shared" si="21"/>
        <v>6</v>
      </c>
      <c r="C290" s="1">
        <f t="shared" si="20"/>
        <v>12</v>
      </c>
      <c r="D290" s="1">
        <f t="shared" si="20"/>
        <v>17</v>
      </c>
      <c r="E290" s="1" t="e">
        <f t="shared" si="20"/>
        <v>#VALUE!</v>
      </c>
      <c r="F290" s="3" t="e">
        <f>'Data In'!#REF!</f>
        <v>#REF!</v>
      </c>
      <c r="G290" s="4" t="e">
        <f>'Data In'!#REF!</f>
        <v>#REF!</v>
      </c>
      <c r="H290" s="3" t="e">
        <f t="shared" si="22"/>
        <v>#VALUE!</v>
      </c>
      <c r="I290" s="1" t="e">
        <f t="shared" si="19"/>
        <v>#REF!</v>
      </c>
      <c r="J290" s="1" t="e">
        <f>IF(Table15[[#This Row],[Rising Through Threshold]],Table15[[#This Row],[Start time]],J289)</f>
        <v>#REF!</v>
      </c>
      <c r="K290" s="1" t="e">
        <f>IF(AND(Table15[[#This Row],[Rising Through Threshold]],J289&gt;0),J290-J289,"")</f>
        <v>#REF!</v>
      </c>
    </row>
    <row r="291" spans="1:11" x14ac:dyDescent="0.45">
      <c r="A291" s="1" t="s">
        <v>308</v>
      </c>
      <c r="B291" s="1">
        <f t="shared" si="21"/>
        <v>6</v>
      </c>
      <c r="C291" s="1">
        <f t="shared" si="20"/>
        <v>12</v>
      </c>
      <c r="D291" s="1">
        <f t="shared" si="20"/>
        <v>17</v>
      </c>
      <c r="E291" s="1" t="e">
        <f t="shared" si="20"/>
        <v>#VALUE!</v>
      </c>
      <c r="F291" s="3" t="e">
        <f>'Data In'!#REF!</f>
        <v>#REF!</v>
      </c>
      <c r="G291" s="4" t="e">
        <f>'Data In'!#REF!</f>
        <v>#REF!</v>
      </c>
      <c r="H291" s="3" t="e">
        <f t="shared" si="22"/>
        <v>#VALUE!</v>
      </c>
      <c r="I291" s="1" t="e">
        <f t="shared" si="19"/>
        <v>#REF!</v>
      </c>
      <c r="J291" s="1" t="e">
        <f>IF(Table15[[#This Row],[Rising Through Threshold]],Table15[[#This Row],[Start time]],J290)</f>
        <v>#REF!</v>
      </c>
      <c r="K291" s="1" t="e">
        <f>IF(AND(Table15[[#This Row],[Rising Through Threshold]],J290&gt;0),J291-J290,"")</f>
        <v>#REF!</v>
      </c>
    </row>
    <row r="292" spans="1:11" x14ac:dyDescent="0.45">
      <c r="A292" s="1" t="s">
        <v>309</v>
      </c>
      <c r="B292" s="1">
        <f t="shared" si="21"/>
        <v>6</v>
      </c>
      <c r="C292" s="1">
        <f t="shared" si="20"/>
        <v>12</v>
      </c>
      <c r="D292" s="1">
        <f t="shared" si="20"/>
        <v>17</v>
      </c>
      <c r="E292" s="1" t="e">
        <f t="shared" si="20"/>
        <v>#VALUE!</v>
      </c>
      <c r="F292" s="3" t="e">
        <f>'Data In'!#REF!</f>
        <v>#REF!</v>
      </c>
      <c r="G292" s="4" t="e">
        <f>'Data In'!#REF!</f>
        <v>#REF!</v>
      </c>
      <c r="H292" s="3" t="e">
        <f t="shared" si="22"/>
        <v>#VALUE!</v>
      </c>
      <c r="I292" s="1" t="e">
        <f t="shared" si="19"/>
        <v>#REF!</v>
      </c>
      <c r="J292" s="1" t="e">
        <f>IF(Table15[[#This Row],[Rising Through Threshold]],Table15[[#This Row],[Start time]],J291)</f>
        <v>#REF!</v>
      </c>
      <c r="K292" s="1" t="e">
        <f>IF(AND(Table15[[#This Row],[Rising Through Threshold]],J291&gt;0),J292-J291,"")</f>
        <v>#REF!</v>
      </c>
    </row>
    <row r="293" spans="1:11" x14ac:dyDescent="0.45">
      <c r="A293" s="1" t="s">
        <v>310</v>
      </c>
      <c r="B293" s="1">
        <f t="shared" si="21"/>
        <v>6</v>
      </c>
      <c r="C293" s="1">
        <f t="shared" si="20"/>
        <v>12</v>
      </c>
      <c r="D293" s="1">
        <f t="shared" si="20"/>
        <v>17</v>
      </c>
      <c r="E293" s="1" t="e">
        <f t="shared" si="20"/>
        <v>#VALUE!</v>
      </c>
      <c r="F293" s="3" t="e">
        <f>'Data In'!#REF!</f>
        <v>#REF!</v>
      </c>
      <c r="G293" s="4" t="e">
        <f>'Data In'!#REF!</f>
        <v>#REF!</v>
      </c>
      <c r="H293" s="3" t="e">
        <f t="shared" si="22"/>
        <v>#VALUE!</v>
      </c>
      <c r="I293" s="1" t="e">
        <f t="shared" si="19"/>
        <v>#REF!</v>
      </c>
      <c r="J293" s="1" t="e">
        <f>IF(Table15[[#This Row],[Rising Through Threshold]],Table15[[#This Row],[Start time]],J292)</f>
        <v>#REF!</v>
      </c>
      <c r="K293" s="1" t="e">
        <f>IF(AND(Table15[[#This Row],[Rising Through Threshold]],J292&gt;0),J293-J292,"")</f>
        <v>#REF!</v>
      </c>
    </row>
    <row r="294" spans="1:11" x14ac:dyDescent="0.45">
      <c r="A294" s="1" t="s">
        <v>311</v>
      </c>
      <c r="B294" s="1">
        <f t="shared" si="21"/>
        <v>6</v>
      </c>
      <c r="C294" s="1">
        <f t="shared" si="20"/>
        <v>12</v>
      </c>
      <c r="D294" s="1">
        <f t="shared" si="20"/>
        <v>17</v>
      </c>
      <c r="E294" s="1" t="e">
        <f t="shared" si="20"/>
        <v>#VALUE!</v>
      </c>
      <c r="F294" s="3" t="e">
        <f>'Data In'!#REF!</f>
        <v>#REF!</v>
      </c>
      <c r="G294" s="4" t="e">
        <f>'Data In'!#REF!</f>
        <v>#REF!</v>
      </c>
      <c r="H294" s="3" t="e">
        <f t="shared" si="22"/>
        <v>#VALUE!</v>
      </c>
      <c r="I294" s="1" t="e">
        <f t="shared" si="19"/>
        <v>#REF!</v>
      </c>
      <c r="J294" s="1" t="e">
        <f>IF(Table15[[#This Row],[Rising Through Threshold]],Table15[[#This Row],[Start time]],J293)</f>
        <v>#REF!</v>
      </c>
      <c r="K294" s="1" t="e">
        <f>IF(AND(Table15[[#This Row],[Rising Through Threshold]],J293&gt;0),J294-J293,"")</f>
        <v>#REF!</v>
      </c>
    </row>
    <row r="295" spans="1:11" x14ac:dyDescent="0.45">
      <c r="A295" s="1" t="s">
        <v>312</v>
      </c>
      <c r="B295" s="1">
        <f t="shared" si="21"/>
        <v>6</v>
      </c>
      <c r="C295" s="1">
        <f t="shared" si="20"/>
        <v>12</v>
      </c>
      <c r="D295" s="1">
        <f t="shared" si="20"/>
        <v>17</v>
      </c>
      <c r="E295" s="1" t="e">
        <f t="shared" si="20"/>
        <v>#VALUE!</v>
      </c>
      <c r="F295" s="3" t="e">
        <f>'Data In'!#REF!</f>
        <v>#REF!</v>
      </c>
      <c r="G295" s="4" t="e">
        <f>'Data In'!#REF!</f>
        <v>#REF!</v>
      </c>
      <c r="H295" s="3" t="e">
        <f t="shared" si="22"/>
        <v>#VALUE!</v>
      </c>
      <c r="I295" s="1" t="e">
        <f t="shared" si="19"/>
        <v>#REF!</v>
      </c>
      <c r="J295" s="1" t="e">
        <f>IF(Table15[[#This Row],[Rising Through Threshold]],Table15[[#This Row],[Start time]],J294)</f>
        <v>#REF!</v>
      </c>
      <c r="K295" s="1" t="e">
        <f>IF(AND(Table15[[#This Row],[Rising Through Threshold]],J294&gt;0),J295-J294,"")</f>
        <v>#REF!</v>
      </c>
    </row>
    <row r="296" spans="1:11" x14ac:dyDescent="0.45">
      <c r="A296" s="1" t="s">
        <v>313</v>
      </c>
      <c r="B296" s="1">
        <f t="shared" si="21"/>
        <v>6</v>
      </c>
      <c r="C296" s="1">
        <f t="shared" si="20"/>
        <v>12</v>
      </c>
      <c r="D296" s="1">
        <f t="shared" si="20"/>
        <v>17</v>
      </c>
      <c r="E296" s="1" t="e">
        <f t="shared" si="20"/>
        <v>#VALUE!</v>
      </c>
      <c r="F296" s="3" t="e">
        <f>'Data In'!#REF!</f>
        <v>#REF!</v>
      </c>
      <c r="G296" s="4" t="e">
        <f>'Data In'!#REF!</f>
        <v>#REF!</v>
      </c>
      <c r="H296" s="3" t="e">
        <f t="shared" si="22"/>
        <v>#VALUE!</v>
      </c>
      <c r="I296" s="1" t="e">
        <f t="shared" si="19"/>
        <v>#REF!</v>
      </c>
      <c r="J296" s="1" t="e">
        <f>IF(Table15[[#This Row],[Rising Through Threshold]],Table15[[#This Row],[Start time]],J295)</f>
        <v>#REF!</v>
      </c>
      <c r="K296" s="1" t="e">
        <f>IF(AND(Table15[[#This Row],[Rising Through Threshold]],J295&gt;0),J296-J295,"")</f>
        <v>#REF!</v>
      </c>
    </row>
    <row r="297" spans="1:11" x14ac:dyDescent="0.45">
      <c r="A297" s="1" t="s">
        <v>314</v>
      </c>
      <c r="B297" s="1">
        <f t="shared" si="21"/>
        <v>6</v>
      </c>
      <c r="C297" s="1">
        <f t="shared" si="20"/>
        <v>12</v>
      </c>
      <c r="D297" s="1">
        <f t="shared" si="20"/>
        <v>17</v>
      </c>
      <c r="E297" s="1" t="e">
        <f t="shared" si="20"/>
        <v>#VALUE!</v>
      </c>
      <c r="F297" s="3" t="e">
        <f>'Data In'!#REF!</f>
        <v>#REF!</v>
      </c>
      <c r="G297" s="4" t="e">
        <f>'Data In'!#REF!</f>
        <v>#REF!</v>
      </c>
      <c r="H297" s="3" t="e">
        <f t="shared" si="22"/>
        <v>#VALUE!</v>
      </c>
      <c r="I297" s="1" t="e">
        <f t="shared" si="19"/>
        <v>#REF!</v>
      </c>
      <c r="J297" s="1" t="e">
        <f>IF(Table15[[#This Row],[Rising Through Threshold]],Table15[[#This Row],[Start time]],J296)</f>
        <v>#REF!</v>
      </c>
      <c r="K297" s="1" t="e">
        <f>IF(AND(Table15[[#This Row],[Rising Through Threshold]],J296&gt;0),J297-J296,"")</f>
        <v>#REF!</v>
      </c>
    </row>
    <row r="298" spans="1:11" x14ac:dyDescent="0.45">
      <c r="A298" s="1" t="s">
        <v>315</v>
      </c>
      <c r="B298" s="1">
        <f t="shared" si="21"/>
        <v>6</v>
      </c>
      <c r="C298" s="1">
        <f t="shared" si="20"/>
        <v>12</v>
      </c>
      <c r="D298" s="1">
        <f t="shared" si="20"/>
        <v>17</v>
      </c>
      <c r="E298" s="1" t="e">
        <f t="shared" si="20"/>
        <v>#VALUE!</v>
      </c>
      <c r="F298" s="3" t="e">
        <f>'Data In'!#REF!</f>
        <v>#REF!</v>
      </c>
      <c r="G298" s="4" t="e">
        <f>'Data In'!#REF!</f>
        <v>#REF!</v>
      </c>
      <c r="H298" s="3" t="e">
        <f t="shared" si="22"/>
        <v>#VALUE!</v>
      </c>
      <c r="I298" s="1" t="e">
        <f t="shared" si="19"/>
        <v>#REF!</v>
      </c>
      <c r="J298" s="1" t="e">
        <f>IF(Table15[[#This Row],[Rising Through Threshold]],Table15[[#This Row],[Start time]],J297)</f>
        <v>#REF!</v>
      </c>
      <c r="K298" s="1" t="e">
        <f>IF(AND(Table15[[#This Row],[Rising Through Threshold]],J297&gt;0),J298-J297,"")</f>
        <v>#REF!</v>
      </c>
    </row>
    <row r="299" spans="1:11" x14ac:dyDescent="0.45">
      <c r="A299" s="1" t="s">
        <v>316</v>
      </c>
      <c r="B299" s="1">
        <f t="shared" si="21"/>
        <v>6</v>
      </c>
      <c r="C299" s="1">
        <f t="shared" si="20"/>
        <v>12</v>
      </c>
      <c r="D299" s="1">
        <f t="shared" si="20"/>
        <v>17</v>
      </c>
      <c r="E299" s="1" t="e">
        <f t="shared" si="20"/>
        <v>#VALUE!</v>
      </c>
      <c r="F299" s="3" t="e">
        <f>'Data In'!#REF!</f>
        <v>#REF!</v>
      </c>
      <c r="G299" s="4" t="e">
        <f>'Data In'!#REF!</f>
        <v>#REF!</v>
      </c>
      <c r="H299" s="3" t="e">
        <f t="shared" si="22"/>
        <v>#VALUE!</v>
      </c>
      <c r="I299" s="1" t="e">
        <f t="shared" si="19"/>
        <v>#REF!</v>
      </c>
      <c r="J299" s="1" t="e">
        <f>IF(Table15[[#This Row],[Rising Through Threshold]],Table15[[#This Row],[Start time]],J298)</f>
        <v>#REF!</v>
      </c>
      <c r="K299" s="1" t="e">
        <f>IF(AND(Table15[[#This Row],[Rising Through Threshold]],J298&gt;0),J299-J298,"")</f>
        <v>#REF!</v>
      </c>
    </row>
    <row r="300" spans="1:11" x14ac:dyDescent="0.45">
      <c r="A300" s="1" t="s">
        <v>317</v>
      </c>
      <c r="B300" s="1">
        <f t="shared" si="21"/>
        <v>6</v>
      </c>
      <c r="C300" s="1">
        <f t="shared" si="20"/>
        <v>12</v>
      </c>
      <c r="D300" s="1">
        <f t="shared" si="20"/>
        <v>17</v>
      </c>
      <c r="E300" s="1" t="e">
        <f t="shared" si="20"/>
        <v>#VALUE!</v>
      </c>
      <c r="F300" s="3" t="e">
        <f>'Data In'!#REF!</f>
        <v>#REF!</v>
      </c>
      <c r="G300" s="4" t="e">
        <f>'Data In'!#REF!</f>
        <v>#REF!</v>
      </c>
      <c r="H300" s="3" t="e">
        <f t="shared" si="22"/>
        <v>#VALUE!</v>
      </c>
      <c r="I300" s="1" t="e">
        <f t="shared" si="19"/>
        <v>#REF!</v>
      </c>
      <c r="J300" s="1" t="e">
        <f>IF(Table15[[#This Row],[Rising Through Threshold]],Table15[[#This Row],[Start time]],J299)</f>
        <v>#REF!</v>
      </c>
      <c r="K300" s="1" t="e">
        <f>IF(AND(Table15[[#This Row],[Rising Through Threshold]],J299&gt;0),J300-J299,"")</f>
        <v>#REF!</v>
      </c>
    </row>
    <row r="301" spans="1:11" x14ac:dyDescent="0.45">
      <c r="A301" s="1" t="s">
        <v>318</v>
      </c>
      <c r="B301" s="1">
        <f t="shared" si="21"/>
        <v>6</v>
      </c>
      <c r="C301" s="1">
        <f t="shared" si="20"/>
        <v>12</v>
      </c>
      <c r="D301" s="1">
        <f t="shared" si="20"/>
        <v>17</v>
      </c>
      <c r="E301" s="1" t="e">
        <f t="shared" si="20"/>
        <v>#VALUE!</v>
      </c>
      <c r="F301" s="3" t="e">
        <f>'Data In'!#REF!</f>
        <v>#REF!</v>
      </c>
      <c r="G301" s="4" t="e">
        <f>'Data In'!#REF!</f>
        <v>#REF!</v>
      </c>
      <c r="H301" s="3" t="e">
        <f t="shared" si="22"/>
        <v>#VALUE!</v>
      </c>
      <c r="I301" s="1" t="e">
        <f t="shared" ref="I301:I364" si="23">AND(G300&lt;Threshold,G301&gt;Threshold)</f>
        <v>#REF!</v>
      </c>
      <c r="J301" s="1" t="e">
        <f>IF(Table15[[#This Row],[Rising Through Threshold]],Table15[[#This Row],[Start time]],J300)</f>
        <v>#REF!</v>
      </c>
      <c r="K301" s="1" t="e">
        <f>IF(AND(Table15[[#This Row],[Rising Through Threshold]],J300&gt;0),J301-J300,"")</f>
        <v>#REF!</v>
      </c>
    </row>
    <row r="302" spans="1:11" x14ac:dyDescent="0.45">
      <c r="A302" s="1" t="s">
        <v>319</v>
      </c>
      <c r="B302" s="1">
        <f t="shared" si="21"/>
        <v>6</v>
      </c>
      <c r="C302" s="1">
        <f t="shared" si="20"/>
        <v>12</v>
      </c>
      <c r="D302" s="1">
        <f t="shared" si="20"/>
        <v>17</v>
      </c>
      <c r="E302" s="1" t="e">
        <f t="shared" si="20"/>
        <v>#VALUE!</v>
      </c>
      <c r="F302" s="3" t="e">
        <f>'Data In'!#REF!</f>
        <v>#REF!</v>
      </c>
      <c r="G302" s="4" t="e">
        <f>'Data In'!#REF!</f>
        <v>#REF!</v>
      </c>
      <c r="H302" s="3" t="e">
        <f t="shared" si="22"/>
        <v>#VALUE!</v>
      </c>
      <c r="I302" s="1" t="e">
        <f t="shared" si="23"/>
        <v>#REF!</v>
      </c>
      <c r="J302" s="1" t="e">
        <f>IF(Table15[[#This Row],[Rising Through Threshold]],Table15[[#This Row],[Start time]],J301)</f>
        <v>#REF!</v>
      </c>
      <c r="K302" s="1" t="e">
        <f>IF(AND(Table15[[#This Row],[Rising Through Threshold]],J301&gt;0),J302-J301,"")</f>
        <v>#REF!</v>
      </c>
    </row>
    <row r="303" spans="1:11" x14ac:dyDescent="0.45">
      <c r="A303" s="1" t="s">
        <v>320</v>
      </c>
      <c r="B303" s="1">
        <f t="shared" si="21"/>
        <v>6</v>
      </c>
      <c r="C303" s="1">
        <f t="shared" si="20"/>
        <v>12</v>
      </c>
      <c r="D303" s="1">
        <f t="shared" si="20"/>
        <v>17</v>
      </c>
      <c r="E303" s="1" t="e">
        <f t="shared" si="20"/>
        <v>#VALUE!</v>
      </c>
      <c r="F303" s="3" t="e">
        <f>'Data In'!#REF!</f>
        <v>#REF!</v>
      </c>
      <c r="G303" s="4" t="e">
        <f>'Data In'!#REF!</f>
        <v>#REF!</v>
      </c>
      <c r="H303" s="3" t="e">
        <f t="shared" si="22"/>
        <v>#VALUE!</v>
      </c>
      <c r="I303" s="1" t="e">
        <f t="shared" si="23"/>
        <v>#REF!</v>
      </c>
      <c r="J303" s="1" t="e">
        <f>IF(Table15[[#This Row],[Rising Through Threshold]],Table15[[#This Row],[Start time]],J302)</f>
        <v>#REF!</v>
      </c>
      <c r="K303" s="1" t="e">
        <f>IF(AND(Table15[[#This Row],[Rising Through Threshold]],J302&gt;0),J303-J302,"")</f>
        <v>#REF!</v>
      </c>
    </row>
    <row r="304" spans="1:11" x14ac:dyDescent="0.45">
      <c r="A304" s="1" t="s">
        <v>321</v>
      </c>
      <c r="B304" s="1">
        <f t="shared" si="21"/>
        <v>6</v>
      </c>
      <c r="C304" s="1">
        <f t="shared" si="20"/>
        <v>12</v>
      </c>
      <c r="D304" s="1">
        <f t="shared" si="20"/>
        <v>17</v>
      </c>
      <c r="E304" s="1" t="e">
        <f t="shared" si="20"/>
        <v>#VALUE!</v>
      </c>
      <c r="F304" s="3" t="e">
        <f>'Data In'!#REF!</f>
        <v>#REF!</v>
      </c>
      <c r="G304" s="4" t="e">
        <f>'Data In'!#REF!</f>
        <v>#REF!</v>
      </c>
      <c r="H304" s="3" t="e">
        <f t="shared" si="22"/>
        <v>#VALUE!</v>
      </c>
      <c r="I304" s="1" t="e">
        <f t="shared" si="23"/>
        <v>#REF!</v>
      </c>
      <c r="J304" s="1" t="e">
        <f>IF(Table15[[#This Row],[Rising Through Threshold]],Table15[[#This Row],[Start time]],J303)</f>
        <v>#REF!</v>
      </c>
      <c r="K304" s="1" t="e">
        <f>IF(AND(Table15[[#This Row],[Rising Through Threshold]],J303&gt;0),J304-J303,"")</f>
        <v>#REF!</v>
      </c>
    </row>
    <row r="305" spans="1:11" x14ac:dyDescent="0.45">
      <c r="A305" s="1" t="s">
        <v>322</v>
      </c>
      <c r="B305" s="1">
        <f t="shared" si="21"/>
        <v>6</v>
      </c>
      <c r="C305" s="1">
        <f t="shared" si="20"/>
        <v>12</v>
      </c>
      <c r="D305" s="1">
        <f t="shared" si="20"/>
        <v>17</v>
      </c>
      <c r="E305" s="1" t="e">
        <f t="shared" si="20"/>
        <v>#VALUE!</v>
      </c>
      <c r="F305" s="3" t="e">
        <f>'Data In'!#REF!</f>
        <v>#REF!</v>
      </c>
      <c r="G305" s="4" t="e">
        <f>'Data In'!#REF!</f>
        <v>#REF!</v>
      </c>
      <c r="H305" s="3" t="e">
        <f t="shared" si="22"/>
        <v>#VALUE!</v>
      </c>
      <c r="I305" s="1" t="e">
        <f t="shared" si="23"/>
        <v>#REF!</v>
      </c>
      <c r="J305" s="1" t="e">
        <f>IF(Table15[[#This Row],[Rising Through Threshold]],Table15[[#This Row],[Start time]],J304)</f>
        <v>#REF!</v>
      </c>
      <c r="K305" s="1" t="e">
        <f>IF(AND(Table15[[#This Row],[Rising Through Threshold]],J304&gt;0),J305-J304,"")</f>
        <v>#REF!</v>
      </c>
    </row>
    <row r="306" spans="1:11" x14ac:dyDescent="0.45">
      <c r="A306" s="1" t="s">
        <v>323</v>
      </c>
      <c r="B306" s="1">
        <f t="shared" si="21"/>
        <v>6</v>
      </c>
      <c r="C306" s="1">
        <f t="shared" si="20"/>
        <v>12</v>
      </c>
      <c r="D306" s="1">
        <f t="shared" si="20"/>
        <v>17</v>
      </c>
      <c r="E306" s="1" t="e">
        <f t="shared" si="20"/>
        <v>#VALUE!</v>
      </c>
      <c r="F306" s="3" t="e">
        <f>'Data In'!#REF!</f>
        <v>#REF!</v>
      </c>
      <c r="G306" s="4" t="e">
        <f>'Data In'!#REF!</f>
        <v>#REF!</v>
      </c>
      <c r="H306" s="3" t="e">
        <f t="shared" si="22"/>
        <v>#VALUE!</v>
      </c>
      <c r="I306" s="1" t="e">
        <f t="shared" si="23"/>
        <v>#REF!</v>
      </c>
      <c r="J306" s="1" t="e">
        <f>IF(Table15[[#This Row],[Rising Through Threshold]],Table15[[#This Row],[Start time]],J305)</f>
        <v>#REF!</v>
      </c>
      <c r="K306" s="1" t="e">
        <f>IF(AND(Table15[[#This Row],[Rising Through Threshold]],J305&gt;0),J306-J305,"")</f>
        <v>#REF!</v>
      </c>
    </row>
    <row r="307" spans="1:11" x14ac:dyDescent="0.45">
      <c r="A307" s="1" t="s">
        <v>324</v>
      </c>
      <c r="B307" s="1">
        <f t="shared" si="21"/>
        <v>6</v>
      </c>
      <c r="C307" s="1">
        <f t="shared" si="20"/>
        <v>12</v>
      </c>
      <c r="D307" s="1">
        <f t="shared" si="20"/>
        <v>17</v>
      </c>
      <c r="E307" s="1" t="e">
        <f t="shared" si="20"/>
        <v>#VALUE!</v>
      </c>
      <c r="F307" s="3" t="e">
        <f>'Data In'!#REF!</f>
        <v>#REF!</v>
      </c>
      <c r="G307" s="4" t="e">
        <f>'Data In'!#REF!</f>
        <v>#REF!</v>
      </c>
      <c r="H307" s="3" t="e">
        <f t="shared" si="22"/>
        <v>#VALUE!</v>
      </c>
      <c r="I307" s="1" t="e">
        <f t="shared" si="23"/>
        <v>#REF!</v>
      </c>
      <c r="J307" s="1" t="e">
        <f>IF(Table15[[#This Row],[Rising Through Threshold]],Table15[[#This Row],[Start time]],J306)</f>
        <v>#REF!</v>
      </c>
      <c r="K307" s="1" t="e">
        <f>IF(AND(Table15[[#This Row],[Rising Through Threshold]],J306&gt;0),J307-J306,"")</f>
        <v>#REF!</v>
      </c>
    </row>
    <row r="308" spans="1:11" x14ac:dyDescent="0.45">
      <c r="A308" s="1" t="s">
        <v>325</v>
      </c>
      <c r="B308" s="1">
        <f t="shared" si="21"/>
        <v>6</v>
      </c>
      <c r="C308" s="1">
        <f t="shared" si="20"/>
        <v>12</v>
      </c>
      <c r="D308" s="1">
        <f t="shared" si="20"/>
        <v>17</v>
      </c>
      <c r="E308" s="1" t="e">
        <f t="shared" si="20"/>
        <v>#VALUE!</v>
      </c>
      <c r="F308" s="3" t="e">
        <f>'Data In'!#REF!</f>
        <v>#REF!</v>
      </c>
      <c r="G308" s="4" t="e">
        <f>'Data In'!#REF!</f>
        <v>#REF!</v>
      </c>
      <c r="H308" s="3" t="e">
        <f t="shared" si="22"/>
        <v>#VALUE!</v>
      </c>
      <c r="I308" s="1" t="e">
        <f t="shared" si="23"/>
        <v>#REF!</v>
      </c>
      <c r="J308" s="1" t="e">
        <f>IF(Table15[[#This Row],[Rising Through Threshold]],Table15[[#This Row],[Start time]],J307)</f>
        <v>#REF!</v>
      </c>
      <c r="K308" s="1" t="e">
        <f>IF(AND(Table15[[#This Row],[Rising Through Threshold]],J307&gt;0),J308-J307,"")</f>
        <v>#REF!</v>
      </c>
    </row>
    <row r="309" spans="1:11" x14ac:dyDescent="0.45">
      <c r="A309" s="1" t="s">
        <v>326</v>
      </c>
      <c r="B309" s="1">
        <f t="shared" si="21"/>
        <v>6</v>
      </c>
      <c r="C309" s="1">
        <f t="shared" si="20"/>
        <v>12</v>
      </c>
      <c r="D309" s="1">
        <f t="shared" si="20"/>
        <v>17</v>
      </c>
      <c r="E309" s="1" t="e">
        <f t="shared" si="20"/>
        <v>#VALUE!</v>
      </c>
      <c r="F309" s="3" t="e">
        <f>'Data In'!#REF!</f>
        <v>#REF!</v>
      </c>
      <c r="G309" s="4" t="e">
        <f>'Data In'!#REF!</f>
        <v>#REF!</v>
      </c>
      <c r="H309" s="3" t="e">
        <f t="shared" si="22"/>
        <v>#VALUE!</v>
      </c>
      <c r="I309" s="1" t="e">
        <f t="shared" si="23"/>
        <v>#REF!</v>
      </c>
      <c r="J309" s="1" t="e">
        <f>IF(Table15[[#This Row],[Rising Through Threshold]],Table15[[#This Row],[Start time]],J308)</f>
        <v>#REF!</v>
      </c>
      <c r="K309" s="1" t="e">
        <f>IF(AND(Table15[[#This Row],[Rising Through Threshold]],J308&gt;0),J309-J308,"")</f>
        <v>#REF!</v>
      </c>
    </row>
    <row r="310" spans="1:11" x14ac:dyDescent="0.45">
      <c r="A310" s="1" t="s">
        <v>327</v>
      </c>
      <c r="B310" s="1">
        <f t="shared" si="21"/>
        <v>6</v>
      </c>
      <c r="C310" s="1">
        <f t="shared" si="20"/>
        <v>12</v>
      </c>
      <c r="D310" s="1">
        <f t="shared" si="20"/>
        <v>17</v>
      </c>
      <c r="E310" s="1" t="e">
        <f t="shared" si="20"/>
        <v>#VALUE!</v>
      </c>
      <c r="F310" s="3" t="e">
        <f>'Data In'!#REF!</f>
        <v>#REF!</v>
      </c>
      <c r="G310" s="4" t="e">
        <f>'Data In'!#REF!</f>
        <v>#REF!</v>
      </c>
      <c r="H310" s="3" t="e">
        <f t="shared" si="22"/>
        <v>#VALUE!</v>
      </c>
      <c r="I310" s="1" t="e">
        <f t="shared" si="23"/>
        <v>#REF!</v>
      </c>
      <c r="J310" s="1" t="e">
        <f>IF(Table15[[#This Row],[Rising Through Threshold]],Table15[[#This Row],[Start time]],J309)</f>
        <v>#REF!</v>
      </c>
      <c r="K310" s="1" t="e">
        <f>IF(AND(Table15[[#This Row],[Rising Through Threshold]],J309&gt;0),J310-J309,"")</f>
        <v>#REF!</v>
      </c>
    </row>
    <row r="311" spans="1:11" x14ac:dyDescent="0.45">
      <c r="A311" s="1" t="s">
        <v>328</v>
      </c>
      <c r="B311" s="1">
        <f t="shared" si="21"/>
        <v>6</v>
      </c>
      <c r="C311" s="1">
        <f t="shared" si="20"/>
        <v>12</v>
      </c>
      <c r="D311" s="1">
        <f t="shared" si="20"/>
        <v>17</v>
      </c>
      <c r="E311" s="1" t="e">
        <f t="shared" si="20"/>
        <v>#VALUE!</v>
      </c>
      <c r="F311" s="3" t="e">
        <f>'Data In'!#REF!</f>
        <v>#REF!</v>
      </c>
      <c r="G311" s="4" t="e">
        <f>'Data In'!#REF!</f>
        <v>#REF!</v>
      </c>
      <c r="H311" s="3" t="e">
        <f t="shared" si="22"/>
        <v>#VALUE!</v>
      </c>
      <c r="I311" s="1" t="e">
        <f t="shared" si="23"/>
        <v>#REF!</v>
      </c>
      <c r="J311" s="1" t="e">
        <f>IF(Table15[[#This Row],[Rising Through Threshold]],Table15[[#This Row],[Start time]],J310)</f>
        <v>#REF!</v>
      </c>
      <c r="K311" s="1" t="e">
        <f>IF(AND(Table15[[#This Row],[Rising Through Threshold]],J310&gt;0),J311-J310,"")</f>
        <v>#REF!</v>
      </c>
    </row>
    <row r="312" spans="1:11" x14ac:dyDescent="0.45">
      <c r="A312" s="1" t="s">
        <v>329</v>
      </c>
      <c r="B312" s="1">
        <f t="shared" si="21"/>
        <v>6</v>
      </c>
      <c r="C312" s="1">
        <f t="shared" si="20"/>
        <v>12</v>
      </c>
      <c r="D312" s="1">
        <f t="shared" si="20"/>
        <v>17</v>
      </c>
      <c r="E312" s="1" t="e">
        <f t="shared" si="20"/>
        <v>#VALUE!</v>
      </c>
      <c r="F312" s="3" t="e">
        <f>'Data In'!#REF!</f>
        <v>#REF!</v>
      </c>
      <c r="G312" s="4" t="e">
        <f>'Data In'!#REF!</f>
        <v>#REF!</v>
      </c>
      <c r="H312" s="3" t="e">
        <f t="shared" si="22"/>
        <v>#VALUE!</v>
      </c>
      <c r="I312" s="1" t="e">
        <f t="shared" si="23"/>
        <v>#REF!</v>
      </c>
      <c r="J312" s="1" t="e">
        <f>IF(Table15[[#This Row],[Rising Through Threshold]],Table15[[#This Row],[Start time]],J311)</f>
        <v>#REF!</v>
      </c>
      <c r="K312" s="1" t="e">
        <f>IF(AND(Table15[[#This Row],[Rising Through Threshold]],J311&gt;0),J312-J311,"")</f>
        <v>#REF!</v>
      </c>
    </row>
    <row r="313" spans="1:11" x14ac:dyDescent="0.45">
      <c r="A313" s="1" t="s">
        <v>330</v>
      </c>
      <c r="B313" s="1">
        <f t="shared" si="21"/>
        <v>6</v>
      </c>
      <c r="C313" s="1">
        <f t="shared" si="20"/>
        <v>12</v>
      </c>
      <c r="D313" s="1">
        <f t="shared" si="20"/>
        <v>17</v>
      </c>
      <c r="E313" s="1" t="e">
        <f t="shared" si="20"/>
        <v>#VALUE!</v>
      </c>
      <c r="F313" s="3" t="e">
        <f>'Data In'!#REF!</f>
        <v>#REF!</v>
      </c>
      <c r="G313" s="4" t="e">
        <f>'Data In'!#REF!</f>
        <v>#REF!</v>
      </c>
      <c r="H313" s="3" t="e">
        <f t="shared" si="22"/>
        <v>#VALUE!</v>
      </c>
      <c r="I313" s="1" t="e">
        <f t="shared" si="23"/>
        <v>#REF!</v>
      </c>
      <c r="J313" s="1" t="e">
        <f>IF(Table15[[#This Row],[Rising Through Threshold]],Table15[[#This Row],[Start time]],J312)</f>
        <v>#REF!</v>
      </c>
      <c r="K313" s="1" t="e">
        <f>IF(AND(Table15[[#This Row],[Rising Through Threshold]],J312&gt;0),J313-J312,"")</f>
        <v>#REF!</v>
      </c>
    </row>
    <row r="314" spans="1:11" x14ac:dyDescent="0.45">
      <c r="A314" s="1" t="s">
        <v>331</v>
      </c>
      <c r="B314" s="1">
        <f t="shared" si="21"/>
        <v>6</v>
      </c>
      <c r="C314" s="1">
        <f t="shared" si="20"/>
        <v>12</v>
      </c>
      <c r="D314" s="1">
        <f t="shared" si="20"/>
        <v>17</v>
      </c>
      <c r="E314" s="1" t="e">
        <f t="shared" si="20"/>
        <v>#VALUE!</v>
      </c>
      <c r="F314" s="3" t="e">
        <f>'Data In'!#REF!</f>
        <v>#REF!</v>
      </c>
      <c r="G314" s="4" t="e">
        <f>'Data In'!#REF!</f>
        <v>#REF!</v>
      </c>
      <c r="H314" s="3" t="e">
        <f t="shared" si="22"/>
        <v>#VALUE!</v>
      </c>
      <c r="I314" s="1" t="e">
        <f t="shared" si="23"/>
        <v>#REF!</v>
      </c>
      <c r="J314" s="1" t="e">
        <f>IF(Table15[[#This Row],[Rising Through Threshold]],Table15[[#This Row],[Start time]],J313)</f>
        <v>#REF!</v>
      </c>
      <c r="K314" s="1" t="e">
        <f>IF(AND(Table15[[#This Row],[Rising Through Threshold]],J313&gt;0),J314-J313,"")</f>
        <v>#REF!</v>
      </c>
    </row>
    <row r="315" spans="1:11" x14ac:dyDescent="0.45">
      <c r="A315" s="1" t="s">
        <v>332</v>
      </c>
      <c r="B315" s="1">
        <f t="shared" si="21"/>
        <v>6</v>
      </c>
      <c r="C315" s="1">
        <f t="shared" si="20"/>
        <v>12</v>
      </c>
      <c r="D315" s="1">
        <f t="shared" si="20"/>
        <v>17</v>
      </c>
      <c r="E315" s="1" t="e">
        <f t="shared" si="20"/>
        <v>#VALUE!</v>
      </c>
      <c r="F315" s="3" t="e">
        <f>'Data In'!#REF!</f>
        <v>#REF!</v>
      </c>
      <c r="G315" s="4" t="e">
        <f>'Data In'!#REF!</f>
        <v>#REF!</v>
      </c>
      <c r="H315" s="3" t="e">
        <f t="shared" si="22"/>
        <v>#VALUE!</v>
      </c>
      <c r="I315" s="1" t="e">
        <f t="shared" si="23"/>
        <v>#REF!</v>
      </c>
      <c r="J315" s="1" t="e">
        <f>IF(Table15[[#This Row],[Rising Through Threshold]],Table15[[#This Row],[Start time]],J314)</f>
        <v>#REF!</v>
      </c>
      <c r="K315" s="1" t="e">
        <f>IF(AND(Table15[[#This Row],[Rising Through Threshold]],J314&gt;0),J315-J314,"")</f>
        <v>#REF!</v>
      </c>
    </row>
    <row r="316" spans="1:11" x14ac:dyDescent="0.45">
      <c r="A316" s="1" t="s">
        <v>333</v>
      </c>
      <c r="B316" s="1">
        <f t="shared" si="21"/>
        <v>6</v>
      </c>
      <c r="C316" s="1">
        <f t="shared" si="20"/>
        <v>12</v>
      </c>
      <c r="D316" s="1">
        <f t="shared" si="20"/>
        <v>17</v>
      </c>
      <c r="E316" s="1" t="e">
        <f t="shared" si="20"/>
        <v>#VALUE!</v>
      </c>
      <c r="F316" s="3" t="e">
        <f>'Data In'!#REF!</f>
        <v>#REF!</v>
      </c>
      <c r="G316" s="4" t="e">
        <f>'Data In'!#REF!</f>
        <v>#REF!</v>
      </c>
      <c r="H316" s="3" t="e">
        <f t="shared" si="22"/>
        <v>#VALUE!</v>
      </c>
      <c r="I316" s="1" t="e">
        <f t="shared" si="23"/>
        <v>#REF!</v>
      </c>
      <c r="J316" s="1" t="e">
        <f>IF(Table15[[#This Row],[Rising Through Threshold]],Table15[[#This Row],[Start time]],J315)</f>
        <v>#REF!</v>
      </c>
      <c r="K316" s="1" t="e">
        <f>IF(AND(Table15[[#This Row],[Rising Through Threshold]],J315&gt;0),J316-J315,"")</f>
        <v>#REF!</v>
      </c>
    </row>
    <row r="317" spans="1:11" x14ac:dyDescent="0.45">
      <c r="A317" s="1" t="s">
        <v>334</v>
      </c>
      <c r="B317" s="1">
        <f t="shared" si="21"/>
        <v>6</v>
      </c>
      <c r="C317" s="1">
        <f t="shared" si="20"/>
        <v>12</v>
      </c>
      <c r="D317" s="1">
        <f t="shared" si="20"/>
        <v>17</v>
      </c>
      <c r="E317" s="1" t="e">
        <f t="shared" si="20"/>
        <v>#VALUE!</v>
      </c>
      <c r="F317" s="3" t="e">
        <f>'Data In'!#REF!</f>
        <v>#REF!</v>
      </c>
      <c r="G317" s="4" t="e">
        <f>'Data In'!#REF!</f>
        <v>#REF!</v>
      </c>
      <c r="H317" s="3" t="e">
        <f t="shared" si="22"/>
        <v>#VALUE!</v>
      </c>
      <c r="I317" s="1" t="e">
        <f t="shared" si="23"/>
        <v>#REF!</v>
      </c>
      <c r="J317" s="1" t="e">
        <f>IF(Table15[[#This Row],[Rising Through Threshold]],Table15[[#This Row],[Start time]],J316)</f>
        <v>#REF!</v>
      </c>
      <c r="K317" s="1" t="e">
        <f>IF(AND(Table15[[#This Row],[Rising Through Threshold]],J316&gt;0),J317-J316,"")</f>
        <v>#REF!</v>
      </c>
    </row>
    <row r="318" spans="1:11" x14ac:dyDescent="0.45">
      <c r="A318" s="1" t="s">
        <v>335</v>
      </c>
      <c r="B318" s="1">
        <f t="shared" si="21"/>
        <v>6</v>
      </c>
      <c r="C318" s="1">
        <f t="shared" si="20"/>
        <v>12</v>
      </c>
      <c r="D318" s="1">
        <f t="shared" si="20"/>
        <v>17</v>
      </c>
      <c r="E318" s="1" t="e">
        <f t="shared" si="20"/>
        <v>#VALUE!</v>
      </c>
      <c r="F318" s="3" t="e">
        <f>'Data In'!#REF!</f>
        <v>#REF!</v>
      </c>
      <c r="G318" s="4" t="e">
        <f>'Data In'!#REF!</f>
        <v>#REF!</v>
      </c>
      <c r="H318" s="3" t="e">
        <f t="shared" si="22"/>
        <v>#VALUE!</v>
      </c>
      <c r="I318" s="1" t="e">
        <f t="shared" si="23"/>
        <v>#REF!</v>
      </c>
      <c r="J318" s="1" t="e">
        <f>IF(Table15[[#This Row],[Rising Through Threshold]],Table15[[#This Row],[Start time]],J317)</f>
        <v>#REF!</v>
      </c>
      <c r="K318" s="1" t="e">
        <f>IF(AND(Table15[[#This Row],[Rising Through Threshold]],J317&gt;0),J318-J317,"")</f>
        <v>#REF!</v>
      </c>
    </row>
    <row r="319" spans="1:11" x14ac:dyDescent="0.45">
      <c r="A319" s="1" t="s">
        <v>336</v>
      </c>
      <c r="B319" s="1">
        <f t="shared" si="21"/>
        <v>6</v>
      </c>
      <c r="C319" s="1">
        <f t="shared" si="20"/>
        <v>12</v>
      </c>
      <c r="D319" s="1">
        <f t="shared" si="20"/>
        <v>17</v>
      </c>
      <c r="E319" s="1" t="e">
        <f t="shared" si="20"/>
        <v>#VALUE!</v>
      </c>
      <c r="F319" s="3" t="e">
        <f>'Data In'!#REF!</f>
        <v>#REF!</v>
      </c>
      <c r="G319" s="4" t="e">
        <f>'Data In'!#REF!</f>
        <v>#REF!</v>
      </c>
      <c r="H319" s="3" t="e">
        <f t="shared" si="22"/>
        <v>#VALUE!</v>
      </c>
      <c r="I319" s="1" t="e">
        <f t="shared" si="23"/>
        <v>#REF!</v>
      </c>
      <c r="J319" s="1" t="e">
        <f>IF(Table15[[#This Row],[Rising Through Threshold]],Table15[[#This Row],[Start time]],J318)</f>
        <v>#REF!</v>
      </c>
      <c r="K319" s="1" t="e">
        <f>IF(AND(Table15[[#This Row],[Rising Through Threshold]],J318&gt;0),J319-J318,"")</f>
        <v>#REF!</v>
      </c>
    </row>
    <row r="320" spans="1:11" x14ac:dyDescent="0.45">
      <c r="A320" s="1" t="s">
        <v>337</v>
      </c>
      <c r="B320" s="1">
        <f t="shared" si="21"/>
        <v>6</v>
      </c>
      <c r="C320" s="1">
        <f t="shared" ref="C320:E383" si="24">FIND(":",$A320,B320+1)</f>
        <v>12</v>
      </c>
      <c r="D320" s="1">
        <f t="shared" si="24"/>
        <v>17</v>
      </c>
      <c r="E320" s="1" t="e">
        <f t="shared" si="24"/>
        <v>#VALUE!</v>
      </c>
      <c r="F320" s="3" t="e">
        <f>'Data In'!#REF!</f>
        <v>#REF!</v>
      </c>
      <c r="G320" s="4" t="e">
        <f>'Data In'!#REF!</f>
        <v>#REF!</v>
      </c>
      <c r="H320" s="3" t="e">
        <f t="shared" si="22"/>
        <v>#VALUE!</v>
      </c>
      <c r="I320" s="1" t="e">
        <f t="shared" si="23"/>
        <v>#REF!</v>
      </c>
      <c r="J320" s="1" t="e">
        <f>IF(Table15[[#This Row],[Rising Through Threshold]],Table15[[#This Row],[Start time]],J319)</f>
        <v>#REF!</v>
      </c>
      <c r="K320" s="1" t="e">
        <f>IF(AND(Table15[[#This Row],[Rising Through Threshold]],J319&gt;0),J320-J319,"")</f>
        <v>#REF!</v>
      </c>
    </row>
    <row r="321" spans="1:11" x14ac:dyDescent="0.45">
      <c r="A321" s="1" t="s">
        <v>338</v>
      </c>
      <c r="B321" s="1">
        <f t="shared" si="21"/>
        <v>6</v>
      </c>
      <c r="C321" s="1">
        <f t="shared" si="24"/>
        <v>12</v>
      </c>
      <c r="D321" s="1">
        <f t="shared" si="24"/>
        <v>17</v>
      </c>
      <c r="E321" s="1" t="e">
        <f t="shared" si="24"/>
        <v>#VALUE!</v>
      </c>
      <c r="F321" s="3" t="e">
        <f>'Data In'!#REF!</f>
        <v>#REF!</v>
      </c>
      <c r="G321" s="4" t="e">
        <f>'Data In'!#REF!</f>
        <v>#REF!</v>
      </c>
      <c r="H321" s="3" t="e">
        <f t="shared" si="22"/>
        <v>#VALUE!</v>
      </c>
      <c r="I321" s="1" t="e">
        <f t="shared" si="23"/>
        <v>#REF!</v>
      </c>
      <c r="J321" s="1" t="e">
        <f>IF(Table15[[#This Row],[Rising Through Threshold]],Table15[[#This Row],[Start time]],J320)</f>
        <v>#REF!</v>
      </c>
      <c r="K321" s="1" t="e">
        <f>IF(AND(Table15[[#This Row],[Rising Through Threshold]],J320&gt;0),J321-J320,"")</f>
        <v>#REF!</v>
      </c>
    </row>
    <row r="322" spans="1:11" x14ac:dyDescent="0.45">
      <c r="A322" s="1" t="s">
        <v>339</v>
      </c>
      <c r="B322" s="1">
        <f t="shared" si="21"/>
        <v>6</v>
      </c>
      <c r="C322" s="1">
        <f t="shared" si="24"/>
        <v>12</v>
      </c>
      <c r="D322" s="1">
        <f t="shared" si="24"/>
        <v>17</v>
      </c>
      <c r="E322" s="1" t="e">
        <f t="shared" si="24"/>
        <v>#VALUE!</v>
      </c>
      <c r="F322" s="3" t="e">
        <f>'Data In'!#REF!</f>
        <v>#REF!</v>
      </c>
      <c r="G322" s="4" t="e">
        <f>'Data In'!#REF!</f>
        <v>#REF!</v>
      </c>
      <c r="H322" s="3" t="e">
        <f t="shared" si="22"/>
        <v>#VALUE!</v>
      </c>
      <c r="I322" s="1" t="e">
        <f t="shared" si="23"/>
        <v>#REF!</v>
      </c>
      <c r="J322" s="1" t="e">
        <f>IF(Table15[[#This Row],[Rising Through Threshold]],Table15[[#This Row],[Start time]],J321)</f>
        <v>#REF!</v>
      </c>
      <c r="K322" s="1" t="e">
        <f>IF(AND(Table15[[#This Row],[Rising Through Threshold]],J321&gt;0),J322-J321,"")</f>
        <v>#REF!</v>
      </c>
    </row>
    <row r="323" spans="1:11" x14ac:dyDescent="0.45">
      <c r="A323" s="1" t="s">
        <v>340</v>
      </c>
      <c r="B323" s="1">
        <f t="shared" ref="B323:B386" si="25">FIND(":",$A323,1)</f>
        <v>6</v>
      </c>
      <c r="C323" s="1">
        <f t="shared" si="24"/>
        <v>12</v>
      </c>
      <c r="D323" s="1">
        <f t="shared" si="24"/>
        <v>17</v>
      </c>
      <c r="E323" s="1" t="e">
        <f t="shared" si="24"/>
        <v>#VALUE!</v>
      </c>
      <c r="F323" s="3" t="e">
        <f>'Data In'!#REF!</f>
        <v>#REF!</v>
      </c>
      <c r="G323" s="4" t="e">
        <f>'Data In'!#REF!</f>
        <v>#REF!</v>
      </c>
      <c r="H323" s="3" t="e">
        <f t="shared" ref="H323:H386" si="26">_xlfn.NUMBERVALUE(MID($A323,E323+1,1000))</f>
        <v>#VALUE!</v>
      </c>
      <c r="I323" s="1" t="e">
        <f t="shared" si="23"/>
        <v>#REF!</v>
      </c>
      <c r="J323" s="1" t="e">
        <f>IF(Table15[[#This Row],[Rising Through Threshold]],Table15[[#This Row],[Start time]],J322)</f>
        <v>#REF!</v>
      </c>
      <c r="K323" s="1" t="e">
        <f>IF(AND(Table15[[#This Row],[Rising Through Threshold]],J322&gt;0),J323-J322,"")</f>
        <v>#REF!</v>
      </c>
    </row>
    <row r="324" spans="1:11" x14ac:dyDescent="0.45">
      <c r="A324" s="1" t="s">
        <v>341</v>
      </c>
      <c r="B324" s="1">
        <f t="shared" si="25"/>
        <v>6</v>
      </c>
      <c r="C324" s="1">
        <f t="shared" si="24"/>
        <v>12</v>
      </c>
      <c r="D324" s="1">
        <f t="shared" si="24"/>
        <v>17</v>
      </c>
      <c r="E324" s="1" t="e">
        <f t="shared" si="24"/>
        <v>#VALUE!</v>
      </c>
      <c r="F324" s="3" t="e">
        <f>'Data In'!#REF!</f>
        <v>#REF!</v>
      </c>
      <c r="G324" s="4" t="e">
        <f>'Data In'!#REF!</f>
        <v>#REF!</v>
      </c>
      <c r="H324" s="3" t="e">
        <f t="shared" si="26"/>
        <v>#VALUE!</v>
      </c>
      <c r="I324" s="1" t="e">
        <f t="shared" si="23"/>
        <v>#REF!</v>
      </c>
      <c r="J324" s="1" t="e">
        <f>IF(Table15[[#This Row],[Rising Through Threshold]],Table15[[#This Row],[Start time]],J323)</f>
        <v>#REF!</v>
      </c>
      <c r="K324" s="1" t="e">
        <f>IF(AND(Table15[[#This Row],[Rising Through Threshold]],J323&gt;0),J324-J323,"")</f>
        <v>#REF!</v>
      </c>
    </row>
    <row r="325" spans="1:11" x14ac:dyDescent="0.45">
      <c r="A325" s="1" t="s">
        <v>342</v>
      </c>
      <c r="B325" s="1">
        <f t="shared" si="25"/>
        <v>6</v>
      </c>
      <c r="C325" s="1">
        <f t="shared" si="24"/>
        <v>12</v>
      </c>
      <c r="D325" s="1">
        <f t="shared" si="24"/>
        <v>17</v>
      </c>
      <c r="E325" s="1" t="e">
        <f t="shared" si="24"/>
        <v>#VALUE!</v>
      </c>
      <c r="F325" s="3" t="e">
        <f>'Data In'!#REF!</f>
        <v>#REF!</v>
      </c>
      <c r="G325" s="4" t="e">
        <f>'Data In'!#REF!</f>
        <v>#REF!</v>
      </c>
      <c r="H325" s="3" t="e">
        <f t="shared" si="26"/>
        <v>#VALUE!</v>
      </c>
      <c r="I325" s="1" t="e">
        <f t="shared" si="23"/>
        <v>#REF!</v>
      </c>
      <c r="J325" s="1" t="e">
        <f>IF(Table15[[#This Row],[Rising Through Threshold]],Table15[[#This Row],[Start time]],J324)</f>
        <v>#REF!</v>
      </c>
      <c r="K325" s="1" t="e">
        <f>IF(AND(Table15[[#This Row],[Rising Through Threshold]],J324&gt;0),J325-J324,"")</f>
        <v>#REF!</v>
      </c>
    </row>
    <row r="326" spans="1:11" x14ac:dyDescent="0.45">
      <c r="A326" s="1" t="s">
        <v>343</v>
      </c>
      <c r="B326" s="1">
        <f t="shared" si="25"/>
        <v>6</v>
      </c>
      <c r="C326" s="1">
        <f t="shared" si="24"/>
        <v>12</v>
      </c>
      <c r="D326" s="1">
        <f t="shared" si="24"/>
        <v>17</v>
      </c>
      <c r="E326" s="1" t="e">
        <f t="shared" si="24"/>
        <v>#VALUE!</v>
      </c>
      <c r="F326" s="3" t="e">
        <f>'Data In'!#REF!</f>
        <v>#REF!</v>
      </c>
      <c r="G326" s="4" t="e">
        <f>'Data In'!#REF!</f>
        <v>#REF!</v>
      </c>
      <c r="H326" s="3" t="e">
        <f t="shared" si="26"/>
        <v>#VALUE!</v>
      </c>
      <c r="I326" s="1" t="e">
        <f t="shared" si="23"/>
        <v>#REF!</v>
      </c>
      <c r="J326" s="1" t="e">
        <f>IF(Table15[[#This Row],[Rising Through Threshold]],Table15[[#This Row],[Start time]],J325)</f>
        <v>#REF!</v>
      </c>
      <c r="K326" s="1" t="e">
        <f>IF(AND(Table15[[#This Row],[Rising Through Threshold]],J325&gt;0),J326-J325,"")</f>
        <v>#REF!</v>
      </c>
    </row>
    <row r="327" spans="1:11" x14ac:dyDescent="0.45">
      <c r="A327" s="1" t="s">
        <v>344</v>
      </c>
      <c r="B327" s="1">
        <f t="shared" si="25"/>
        <v>6</v>
      </c>
      <c r="C327" s="1">
        <f t="shared" si="24"/>
        <v>12</v>
      </c>
      <c r="D327" s="1">
        <f t="shared" si="24"/>
        <v>17</v>
      </c>
      <c r="E327" s="1" t="e">
        <f t="shared" si="24"/>
        <v>#VALUE!</v>
      </c>
      <c r="F327" s="3" t="e">
        <f>'Data In'!#REF!</f>
        <v>#REF!</v>
      </c>
      <c r="G327" s="4" t="e">
        <f>'Data In'!#REF!</f>
        <v>#REF!</v>
      </c>
      <c r="H327" s="3" t="e">
        <f t="shared" si="26"/>
        <v>#VALUE!</v>
      </c>
      <c r="I327" s="1" t="e">
        <f t="shared" si="23"/>
        <v>#REF!</v>
      </c>
      <c r="J327" s="1" t="e">
        <f>IF(Table15[[#This Row],[Rising Through Threshold]],Table15[[#This Row],[Start time]],J326)</f>
        <v>#REF!</v>
      </c>
      <c r="K327" s="1" t="e">
        <f>IF(AND(Table15[[#This Row],[Rising Through Threshold]],J326&gt;0),J327-J326,"")</f>
        <v>#REF!</v>
      </c>
    </row>
    <row r="328" spans="1:11" x14ac:dyDescent="0.45">
      <c r="A328" s="1" t="s">
        <v>345</v>
      </c>
      <c r="B328" s="1">
        <f t="shared" si="25"/>
        <v>6</v>
      </c>
      <c r="C328" s="1">
        <f t="shared" si="24"/>
        <v>12</v>
      </c>
      <c r="D328" s="1">
        <f t="shared" si="24"/>
        <v>17</v>
      </c>
      <c r="E328" s="1" t="e">
        <f t="shared" si="24"/>
        <v>#VALUE!</v>
      </c>
      <c r="F328" s="3" t="e">
        <f>'Data In'!#REF!</f>
        <v>#REF!</v>
      </c>
      <c r="G328" s="4" t="e">
        <f>'Data In'!#REF!</f>
        <v>#REF!</v>
      </c>
      <c r="H328" s="3" t="e">
        <f t="shared" si="26"/>
        <v>#VALUE!</v>
      </c>
      <c r="I328" s="1" t="e">
        <f t="shared" si="23"/>
        <v>#REF!</v>
      </c>
      <c r="J328" s="1" t="e">
        <f>IF(Table15[[#This Row],[Rising Through Threshold]],Table15[[#This Row],[Start time]],J327)</f>
        <v>#REF!</v>
      </c>
      <c r="K328" s="1" t="e">
        <f>IF(AND(Table15[[#This Row],[Rising Through Threshold]],J327&gt;0),J328-J327,"")</f>
        <v>#REF!</v>
      </c>
    </row>
    <row r="329" spans="1:11" x14ac:dyDescent="0.45">
      <c r="A329" s="1" t="s">
        <v>346</v>
      </c>
      <c r="B329" s="1">
        <f t="shared" si="25"/>
        <v>6</v>
      </c>
      <c r="C329" s="1">
        <f t="shared" si="24"/>
        <v>12</v>
      </c>
      <c r="D329" s="1">
        <f t="shared" si="24"/>
        <v>17</v>
      </c>
      <c r="E329" s="1" t="e">
        <f t="shared" si="24"/>
        <v>#VALUE!</v>
      </c>
      <c r="F329" s="3" t="e">
        <f>'Data In'!#REF!</f>
        <v>#REF!</v>
      </c>
      <c r="G329" s="4" t="e">
        <f>'Data In'!#REF!</f>
        <v>#REF!</v>
      </c>
      <c r="H329" s="3" t="e">
        <f t="shared" si="26"/>
        <v>#VALUE!</v>
      </c>
      <c r="I329" s="1" t="e">
        <f t="shared" si="23"/>
        <v>#REF!</v>
      </c>
      <c r="J329" s="1" t="e">
        <f>IF(Table15[[#This Row],[Rising Through Threshold]],Table15[[#This Row],[Start time]],J328)</f>
        <v>#REF!</v>
      </c>
      <c r="K329" s="1" t="e">
        <f>IF(AND(Table15[[#This Row],[Rising Through Threshold]],J328&gt;0),J329-J328,"")</f>
        <v>#REF!</v>
      </c>
    </row>
    <row r="330" spans="1:11" x14ac:dyDescent="0.45">
      <c r="A330" s="1" t="s">
        <v>347</v>
      </c>
      <c r="B330" s="1">
        <f t="shared" si="25"/>
        <v>6</v>
      </c>
      <c r="C330" s="1">
        <f t="shared" si="24"/>
        <v>12</v>
      </c>
      <c r="D330" s="1">
        <f t="shared" si="24"/>
        <v>17</v>
      </c>
      <c r="E330" s="1" t="e">
        <f t="shared" si="24"/>
        <v>#VALUE!</v>
      </c>
      <c r="F330" s="3" t="e">
        <f>'Data In'!#REF!</f>
        <v>#REF!</v>
      </c>
      <c r="G330" s="4" t="e">
        <f>'Data In'!#REF!</f>
        <v>#REF!</v>
      </c>
      <c r="H330" s="3" t="e">
        <f t="shared" si="26"/>
        <v>#VALUE!</v>
      </c>
      <c r="I330" s="1" t="e">
        <f t="shared" si="23"/>
        <v>#REF!</v>
      </c>
      <c r="J330" s="1" t="e">
        <f>IF(Table15[[#This Row],[Rising Through Threshold]],Table15[[#This Row],[Start time]],J329)</f>
        <v>#REF!</v>
      </c>
      <c r="K330" s="1" t="e">
        <f>IF(AND(Table15[[#This Row],[Rising Through Threshold]],J329&gt;0),J330-J329,"")</f>
        <v>#REF!</v>
      </c>
    </row>
    <row r="331" spans="1:11" x14ac:dyDescent="0.45">
      <c r="A331" s="1" t="s">
        <v>348</v>
      </c>
      <c r="B331" s="1">
        <f t="shared" si="25"/>
        <v>6</v>
      </c>
      <c r="C331" s="1">
        <f t="shared" si="24"/>
        <v>12</v>
      </c>
      <c r="D331" s="1">
        <f t="shared" si="24"/>
        <v>17</v>
      </c>
      <c r="E331" s="1" t="e">
        <f t="shared" si="24"/>
        <v>#VALUE!</v>
      </c>
      <c r="F331" s="3" t="e">
        <f>'Data In'!#REF!</f>
        <v>#REF!</v>
      </c>
      <c r="G331" s="4" t="e">
        <f>'Data In'!#REF!</f>
        <v>#REF!</v>
      </c>
      <c r="H331" s="3" t="e">
        <f t="shared" si="26"/>
        <v>#VALUE!</v>
      </c>
      <c r="I331" s="1" t="e">
        <f t="shared" si="23"/>
        <v>#REF!</v>
      </c>
      <c r="J331" s="1" t="e">
        <f>IF(Table15[[#This Row],[Rising Through Threshold]],Table15[[#This Row],[Start time]],J330)</f>
        <v>#REF!</v>
      </c>
      <c r="K331" s="1" t="e">
        <f>IF(AND(Table15[[#This Row],[Rising Through Threshold]],J330&gt;0),J331-J330,"")</f>
        <v>#REF!</v>
      </c>
    </row>
    <row r="332" spans="1:11" x14ac:dyDescent="0.45">
      <c r="A332" s="1" t="s">
        <v>349</v>
      </c>
      <c r="B332" s="1">
        <f t="shared" si="25"/>
        <v>6</v>
      </c>
      <c r="C332" s="1">
        <f t="shared" si="24"/>
        <v>12</v>
      </c>
      <c r="D332" s="1">
        <f t="shared" si="24"/>
        <v>17</v>
      </c>
      <c r="E332" s="1" t="e">
        <f t="shared" si="24"/>
        <v>#VALUE!</v>
      </c>
      <c r="F332" s="3" t="e">
        <f>'Data In'!#REF!</f>
        <v>#REF!</v>
      </c>
      <c r="G332" s="4" t="e">
        <f>'Data In'!#REF!</f>
        <v>#REF!</v>
      </c>
      <c r="H332" s="3" t="e">
        <f t="shared" si="26"/>
        <v>#VALUE!</v>
      </c>
      <c r="I332" s="1" t="e">
        <f t="shared" si="23"/>
        <v>#REF!</v>
      </c>
      <c r="J332" s="1" t="e">
        <f>IF(Table15[[#This Row],[Rising Through Threshold]],Table15[[#This Row],[Start time]],J331)</f>
        <v>#REF!</v>
      </c>
      <c r="K332" s="1" t="e">
        <f>IF(AND(Table15[[#This Row],[Rising Through Threshold]],J331&gt;0),J332-J331,"")</f>
        <v>#REF!</v>
      </c>
    </row>
    <row r="333" spans="1:11" x14ac:dyDescent="0.45">
      <c r="A333" s="1" t="s">
        <v>350</v>
      </c>
      <c r="B333" s="1">
        <f t="shared" si="25"/>
        <v>6</v>
      </c>
      <c r="C333" s="1">
        <f t="shared" si="24"/>
        <v>12</v>
      </c>
      <c r="D333" s="1">
        <f t="shared" si="24"/>
        <v>17</v>
      </c>
      <c r="E333" s="1" t="e">
        <f t="shared" si="24"/>
        <v>#VALUE!</v>
      </c>
      <c r="F333" s="3" t="e">
        <f>'Data In'!#REF!</f>
        <v>#REF!</v>
      </c>
      <c r="G333" s="4" t="e">
        <f>'Data In'!#REF!</f>
        <v>#REF!</v>
      </c>
      <c r="H333" s="3" t="e">
        <f t="shared" si="26"/>
        <v>#VALUE!</v>
      </c>
      <c r="I333" s="1" t="e">
        <f t="shared" si="23"/>
        <v>#REF!</v>
      </c>
      <c r="J333" s="1" t="e">
        <f>IF(Table15[[#This Row],[Rising Through Threshold]],Table15[[#This Row],[Start time]],J332)</f>
        <v>#REF!</v>
      </c>
      <c r="K333" s="1" t="e">
        <f>IF(AND(Table15[[#This Row],[Rising Through Threshold]],J332&gt;0),J333-J332,"")</f>
        <v>#REF!</v>
      </c>
    </row>
    <row r="334" spans="1:11" x14ac:dyDescent="0.45">
      <c r="A334" s="1" t="s">
        <v>351</v>
      </c>
      <c r="B334" s="1">
        <f t="shared" si="25"/>
        <v>6</v>
      </c>
      <c r="C334" s="1">
        <f t="shared" si="24"/>
        <v>12</v>
      </c>
      <c r="D334" s="1">
        <f t="shared" si="24"/>
        <v>17</v>
      </c>
      <c r="E334" s="1" t="e">
        <f t="shared" si="24"/>
        <v>#VALUE!</v>
      </c>
      <c r="F334" s="3" t="e">
        <f>'Data In'!#REF!</f>
        <v>#REF!</v>
      </c>
      <c r="G334" s="4" t="e">
        <f>'Data In'!#REF!</f>
        <v>#REF!</v>
      </c>
      <c r="H334" s="3" t="e">
        <f t="shared" si="26"/>
        <v>#VALUE!</v>
      </c>
      <c r="I334" s="1" t="e">
        <f t="shared" si="23"/>
        <v>#REF!</v>
      </c>
      <c r="J334" s="1" t="e">
        <f>IF(Table15[[#This Row],[Rising Through Threshold]],Table15[[#This Row],[Start time]],J333)</f>
        <v>#REF!</v>
      </c>
      <c r="K334" s="1" t="e">
        <f>IF(AND(Table15[[#This Row],[Rising Through Threshold]],J333&gt;0),J334-J333,"")</f>
        <v>#REF!</v>
      </c>
    </row>
    <row r="335" spans="1:11" x14ac:dyDescent="0.45">
      <c r="A335" s="1" t="s">
        <v>352</v>
      </c>
      <c r="B335" s="1">
        <f t="shared" si="25"/>
        <v>6</v>
      </c>
      <c r="C335" s="1">
        <f t="shared" si="24"/>
        <v>12</v>
      </c>
      <c r="D335" s="1">
        <f t="shared" si="24"/>
        <v>17</v>
      </c>
      <c r="E335" s="1" t="e">
        <f t="shared" si="24"/>
        <v>#VALUE!</v>
      </c>
      <c r="F335" s="3" t="e">
        <f>'Data In'!#REF!</f>
        <v>#REF!</v>
      </c>
      <c r="G335" s="4" t="e">
        <f>'Data In'!#REF!</f>
        <v>#REF!</v>
      </c>
      <c r="H335" s="3" t="e">
        <f t="shared" si="26"/>
        <v>#VALUE!</v>
      </c>
      <c r="I335" s="1" t="e">
        <f t="shared" si="23"/>
        <v>#REF!</v>
      </c>
      <c r="J335" s="1" t="e">
        <f>IF(Table15[[#This Row],[Rising Through Threshold]],Table15[[#This Row],[Start time]],J334)</f>
        <v>#REF!</v>
      </c>
      <c r="K335" s="1" t="e">
        <f>IF(AND(Table15[[#This Row],[Rising Through Threshold]],J334&gt;0),J335-J334,"")</f>
        <v>#REF!</v>
      </c>
    </row>
    <row r="336" spans="1:11" x14ac:dyDescent="0.45">
      <c r="A336" s="1" t="s">
        <v>353</v>
      </c>
      <c r="B336" s="1">
        <f t="shared" si="25"/>
        <v>6</v>
      </c>
      <c r="C336" s="1">
        <f t="shared" si="24"/>
        <v>12</v>
      </c>
      <c r="D336" s="1">
        <f t="shared" si="24"/>
        <v>17</v>
      </c>
      <c r="E336" s="1" t="e">
        <f t="shared" si="24"/>
        <v>#VALUE!</v>
      </c>
      <c r="F336" s="3" t="e">
        <f>'Data In'!#REF!</f>
        <v>#REF!</v>
      </c>
      <c r="G336" s="4" t="e">
        <f>'Data In'!#REF!</f>
        <v>#REF!</v>
      </c>
      <c r="H336" s="3" t="e">
        <f t="shared" si="26"/>
        <v>#VALUE!</v>
      </c>
      <c r="I336" s="1" t="e">
        <f t="shared" si="23"/>
        <v>#REF!</v>
      </c>
      <c r="J336" s="1" t="e">
        <f>IF(Table15[[#This Row],[Rising Through Threshold]],Table15[[#This Row],[Start time]],J335)</f>
        <v>#REF!</v>
      </c>
      <c r="K336" s="1" t="e">
        <f>IF(AND(Table15[[#This Row],[Rising Through Threshold]],J335&gt;0),J336-J335,"")</f>
        <v>#REF!</v>
      </c>
    </row>
    <row r="337" spans="1:11" x14ac:dyDescent="0.45">
      <c r="A337" s="1" t="s">
        <v>354</v>
      </c>
      <c r="B337" s="1">
        <f t="shared" si="25"/>
        <v>6</v>
      </c>
      <c r="C337" s="1">
        <f t="shared" si="24"/>
        <v>12</v>
      </c>
      <c r="D337" s="1">
        <f t="shared" si="24"/>
        <v>17</v>
      </c>
      <c r="E337" s="1" t="e">
        <f t="shared" si="24"/>
        <v>#VALUE!</v>
      </c>
      <c r="F337" s="3" t="e">
        <f>'Data In'!#REF!</f>
        <v>#REF!</v>
      </c>
      <c r="G337" s="4" t="e">
        <f>'Data In'!#REF!</f>
        <v>#REF!</v>
      </c>
      <c r="H337" s="3" t="e">
        <f t="shared" si="26"/>
        <v>#VALUE!</v>
      </c>
      <c r="I337" s="1" t="e">
        <f t="shared" si="23"/>
        <v>#REF!</v>
      </c>
      <c r="J337" s="1" t="e">
        <f>IF(Table15[[#This Row],[Rising Through Threshold]],Table15[[#This Row],[Start time]],J336)</f>
        <v>#REF!</v>
      </c>
      <c r="K337" s="1" t="e">
        <f>IF(AND(Table15[[#This Row],[Rising Through Threshold]],J336&gt;0),J337-J336,"")</f>
        <v>#REF!</v>
      </c>
    </row>
    <row r="338" spans="1:11" x14ac:dyDescent="0.45">
      <c r="A338" s="1" t="s">
        <v>355</v>
      </c>
      <c r="B338" s="1">
        <f t="shared" si="25"/>
        <v>6</v>
      </c>
      <c r="C338" s="1">
        <f t="shared" si="24"/>
        <v>12</v>
      </c>
      <c r="D338" s="1">
        <f t="shared" si="24"/>
        <v>17</v>
      </c>
      <c r="E338" s="1" t="e">
        <f t="shared" si="24"/>
        <v>#VALUE!</v>
      </c>
      <c r="F338" s="3" t="e">
        <f>'Data In'!#REF!</f>
        <v>#REF!</v>
      </c>
      <c r="G338" s="4" t="e">
        <f>'Data In'!#REF!</f>
        <v>#REF!</v>
      </c>
      <c r="H338" s="3" t="e">
        <f t="shared" si="26"/>
        <v>#VALUE!</v>
      </c>
      <c r="I338" s="1" t="e">
        <f t="shared" si="23"/>
        <v>#REF!</v>
      </c>
      <c r="J338" s="1" t="e">
        <f>IF(Table15[[#This Row],[Rising Through Threshold]],Table15[[#This Row],[Start time]],J337)</f>
        <v>#REF!</v>
      </c>
      <c r="K338" s="1" t="e">
        <f>IF(AND(Table15[[#This Row],[Rising Through Threshold]],J337&gt;0),J338-J337,"")</f>
        <v>#REF!</v>
      </c>
    </row>
    <row r="339" spans="1:11" x14ac:dyDescent="0.45">
      <c r="A339" s="1" t="s">
        <v>356</v>
      </c>
      <c r="B339" s="1">
        <f t="shared" si="25"/>
        <v>6</v>
      </c>
      <c r="C339" s="1">
        <f t="shared" si="24"/>
        <v>12</v>
      </c>
      <c r="D339" s="1">
        <f t="shared" si="24"/>
        <v>17</v>
      </c>
      <c r="E339" s="1" t="e">
        <f t="shared" si="24"/>
        <v>#VALUE!</v>
      </c>
      <c r="F339" s="3" t="e">
        <f>'Data In'!#REF!</f>
        <v>#REF!</v>
      </c>
      <c r="G339" s="4" t="e">
        <f>'Data In'!#REF!</f>
        <v>#REF!</v>
      </c>
      <c r="H339" s="3" t="e">
        <f t="shared" si="26"/>
        <v>#VALUE!</v>
      </c>
      <c r="I339" s="1" t="e">
        <f t="shared" si="23"/>
        <v>#REF!</v>
      </c>
      <c r="J339" s="1" t="e">
        <f>IF(Table15[[#This Row],[Rising Through Threshold]],Table15[[#This Row],[Start time]],J338)</f>
        <v>#REF!</v>
      </c>
      <c r="K339" s="1" t="e">
        <f>IF(AND(Table15[[#This Row],[Rising Through Threshold]],J338&gt;0),J339-J338,"")</f>
        <v>#REF!</v>
      </c>
    </row>
    <row r="340" spans="1:11" x14ac:dyDescent="0.45">
      <c r="A340" s="1" t="s">
        <v>357</v>
      </c>
      <c r="B340" s="1">
        <f t="shared" si="25"/>
        <v>6</v>
      </c>
      <c r="C340" s="1">
        <f t="shared" si="24"/>
        <v>12</v>
      </c>
      <c r="D340" s="1">
        <f t="shared" si="24"/>
        <v>17</v>
      </c>
      <c r="E340" s="1" t="e">
        <f t="shared" si="24"/>
        <v>#VALUE!</v>
      </c>
      <c r="F340" s="3" t="e">
        <f>'Data In'!#REF!</f>
        <v>#REF!</v>
      </c>
      <c r="G340" s="4" t="e">
        <f>'Data In'!#REF!</f>
        <v>#REF!</v>
      </c>
      <c r="H340" s="3" t="e">
        <f t="shared" si="26"/>
        <v>#VALUE!</v>
      </c>
      <c r="I340" s="1" t="e">
        <f t="shared" si="23"/>
        <v>#REF!</v>
      </c>
      <c r="J340" s="1" t="e">
        <f>IF(Table15[[#This Row],[Rising Through Threshold]],Table15[[#This Row],[Start time]],J339)</f>
        <v>#REF!</v>
      </c>
      <c r="K340" s="1" t="e">
        <f>IF(AND(Table15[[#This Row],[Rising Through Threshold]],J339&gt;0),J340-J339,"")</f>
        <v>#REF!</v>
      </c>
    </row>
    <row r="341" spans="1:11" x14ac:dyDescent="0.45">
      <c r="A341" s="1" t="s">
        <v>358</v>
      </c>
      <c r="B341" s="1">
        <f t="shared" si="25"/>
        <v>6</v>
      </c>
      <c r="C341" s="1">
        <f t="shared" si="24"/>
        <v>12</v>
      </c>
      <c r="D341" s="1">
        <f t="shared" si="24"/>
        <v>17</v>
      </c>
      <c r="E341" s="1" t="e">
        <f t="shared" si="24"/>
        <v>#VALUE!</v>
      </c>
      <c r="F341" s="3" t="e">
        <f>'Data In'!#REF!</f>
        <v>#REF!</v>
      </c>
      <c r="G341" s="4" t="e">
        <f>'Data In'!#REF!</f>
        <v>#REF!</v>
      </c>
      <c r="H341" s="3" t="e">
        <f t="shared" si="26"/>
        <v>#VALUE!</v>
      </c>
      <c r="I341" s="1" t="e">
        <f t="shared" si="23"/>
        <v>#REF!</v>
      </c>
      <c r="J341" s="1" t="e">
        <f>IF(Table15[[#This Row],[Rising Through Threshold]],Table15[[#This Row],[Start time]],J340)</f>
        <v>#REF!</v>
      </c>
      <c r="K341" s="1" t="e">
        <f>IF(AND(Table15[[#This Row],[Rising Through Threshold]],J340&gt;0),J341-J340,"")</f>
        <v>#REF!</v>
      </c>
    </row>
    <row r="342" spans="1:11" x14ac:dyDescent="0.45">
      <c r="A342" s="1" t="s">
        <v>359</v>
      </c>
      <c r="B342" s="1">
        <f t="shared" si="25"/>
        <v>6</v>
      </c>
      <c r="C342" s="1">
        <f t="shared" si="24"/>
        <v>12</v>
      </c>
      <c r="D342" s="1">
        <f t="shared" si="24"/>
        <v>17</v>
      </c>
      <c r="E342" s="1" t="e">
        <f t="shared" si="24"/>
        <v>#VALUE!</v>
      </c>
      <c r="F342" s="3" t="e">
        <f>'Data In'!#REF!</f>
        <v>#REF!</v>
      </c>
      <c r="G342" s="4" t="e">
        <f>'Data In'!#REF!</f>
        <v>#REF!</v>
      </c>
      <c r="H342" s="3" t="e">
        <f t="shared" si="26"/>
        <v>#VALUE!</v>
      </c>
      <c r="I342" s="1" t="e">
        <f t="shared" si="23"/>
        <v>#REF!</v>
      </c>
      <c r="J342" s="1" t="e">
        <f>IF(Table15[[#This Row],[Rising Through Threshold]],Table15[[#This Row],[Start time]],J341)</f>
        <v>#REF!</v>
      </c>
      <c r="K342" s="1" t="e">
        <f>IF(AND(Table15[[#This Row],[Rising Through Threshold]],J341&gt;0),J342-J341,"")</f>
        <v>#REF!</v>
      </c>
    </row>
    <row r="343" spans="1:11" x14ac:dyDescent="0.45">
      <c r="A343" s="1" t="s">
        <v>360</v>
      </c>
      <c r="B343" s="1">
        <f t="shared" si="25"/>
        <v>6</v>
      </c>
      <c r="C343" s="1">
        <f t="shared" si="24"/>
        <v>12</v>
      </c>
      <c r="D343" s="1">
        <f t="shared" si="24"/>
        <v>17</v>
      </c>
      <c r="E343" s="1" t="e">
        <f t="shared" si="24"/>
        <v>#VALUE!</v>
      </c>
      <c r="F343" s="3" t="e">
        <f>'Data In'!#REF!</f>
        <v>#REF!</v>
      </c>
      <c r="G343" s="4" t="e">
        <f>'Data In'!#REF!</f>
        <v>#REF!</v>
      </c>
      <c r="H343" s="3" t="e">
        <f t="shared" si="26"/>
        <v>#VALUE!</v>
      </c>
      <c r="I343" s="1" t="e">
        <f t="shared" si="23"/>
        <v>#REF!</v>
      </c>
      <c r="J343" s="1" t="e">
        <f>IF(Table15[[#This Row],[Rising Through Threshold]],Table15[[#This Row],[Start time]],J342)</f>
        <v>#REF!</v>
      </c>
      <c r="K343" s="1" t="e">
        <f>IF(AND(Table15[[#This Row],[Rising Through Threshold]],J342&gt;0),J343-J342,"")</f>
        <v>#REF!</v>
      </c>
    </row>
    <row r="344" spans="1:11" x14ac:dyDescent="0.45">
      <c r="A344" s="1" t="s">
        <v>361</v>
      </c>
      <c r="B344" s="1">
        <f t="shared" si="25"/>
        <v>6</v>
      </c>
      <c r="C344" s="1">
        <f t="shared" si="24"/>
        <v>12</v>
      </c>
      <c r="D344" s="1">
        <f t="shared" si="24"/>
        <v>17</v>
      </c>
      <c r="E344" s="1" t="e">
        <f t="shared" si="24"/>
        <v>#VALUE!</v>
      </c>
      <c r="F344" s="3" t="e">
        <f>'Data In'!#REF!</f>
        <v>#REF!</v>
      </c>
      <c r="G344" s="4" t="e">
        <f>'Data In'!#REF!</f>
        <v>#REF!</v>
      </c>
      <c r="H344" s="3" t="e">
        <f t="shared" si="26"/>
        <v>#VALUE!</v>
      </c>
      <c r="I344" s="1" t="e">
        <f t="shared" si="23"/>
        <v>#REF!</v>
      </c>
      <c r="J344" s="1" t="e">
        <f>IF(Table15[[#This Row],[Rising Through Threshold]],Table15[[#This Row],[Start time]],J343)</f>
        <v>#REF!</v>
      </c>
      <c r="K344" s="1" t="e">
        <f>IF(AND(Table15[[#This Row],[Rising Through Threshold]],J343&gt;0),J344-J343,"")</f>
        <v>#REF!</v>
      </c>
    </row>
    <row r="345" spans="1:11" x14ac:dyDescent="0.45">
      <c r="A345" s="1" t="s">
        <v>362</v>
      </c>
      <c r="B345" s="1">
        <f t="shared" si="25"/>
        <v>6</v>
      </c>
      <c r="C345" s="1">
        <f t="shared" si="24"/>
        <v>12</v>
      </c>
      <c r="D345" s="1">
        <f t="shared" si="24"/>
        <v>17</v>
      </c>
      <c r="E345" s="1" t="e">
        <f t="shared" si="24"/>
        <v>#VALUE!</v>
      </c>
      <c r="F345" s="3" t="e">
        <f>'Data In'!#REF!</f>
        <v>#REF!</v>
      </c>
      <c r="G345" s="4" t="e">
        <f>'Data In'!#REF!</f>
        <v>#REF!</v>
      </c>
      <c r="H345" s="3" t="e">
        <f t="shared" si="26"/>
        <v>#VALUE!</v>
      </c>
      <c r="I345" s="1" t="e">
        <f t="shared" si="23"/>
        <v>#REF!</v>
      </c>
      <c r="J345" s="1" t="e">
        <f>IF(Table15[[#This Row],[Rising Through Threshold]],Table15[[#This Row],[Start time]],J344)</f>
        <v>#REF!</v>
      </c>
      <c r="K345" s="1" t="e">
        <f>IF(AND(Table15[[#This Row],[Rising Through Threshold]],J344&gt;0),J345-J344,"")</f>
        <v>#REF!</v>
      </c>
    </row>
    <row r="346" spans="1:11" x14ac:dyDescent="0.45">
      <c r="A346" s="1" t="s">
        <v>363</v>
      </c>
      <c r="B346" s="1">
        <f t="shared" si="25"/>
        <v>6</v>
      </c>
      <c r="C346" s="1">
        <f t="shared" si="24"/>
        <v>12</v>
      </c>
      <c r="D346" s="1">
        <f t="shared" si="24"/>
        <v>17</v>
      </c>
      <c r="E346" s="1" t="e">
        <f t="shared" si="24"/>
        <v>#VALUE!</v>
      </c>
      <c r="F346" s="3" t="e">
        <f>'Data In'!#REF!</f>
        <v>#REF!</v>
      </c>
      <c r="G346" s="4" t="e">
        <f>'Data In'!#REF!</f>
        <v>#REF!</v>
      </c>
      <c r="H346" s="3" t="e">
        <f t="shared" si="26"/>
        <v>#VALUE!</v>
      </c>
      <c r="I346" s="1" t="e">
        <f t="shared" si="23"/>
        <v>#REF!</v>
      </c>
      <c r="J346" s="1" t="e">
        <f>IF(Table15[[#This Row],[Rising Through Threshold]],Table15[[#This Row],[Start time]],J345)</f>
        <v>#REF!</v>
      </c>
      <c r="K346" s="1" t="e">
        <f>IF(AND(Table15[[#This Row],[Rising Through Threshold]],J345&gt;0),J346-J345,"")</f>
        <v>#REF!</v>
      </c>
    </row>
    <row r="347" spans="1:11" x14ac:dyDescent="0.45">
      <c r="A347" s="1" t="s">
        <v>364</v>
      </c>
      <c r="B347" s="1">
        <f t="shared" si="25"/>
        <v>6</v>
      </c>
      <c r="C347" s="1">
        <f t="shared" si="24"/>
        <v>12</v>
      </c>
      <c r="D347" s="1">
        <f t="shared" si="24"/>
        <v>17</v>
      </c>
      <c r="E347" s="1" t="e">
        <f t="shared" si="24"/>
        <v>#VALUE!</v>
      </c>
      <c r="F347" s="3" t="e">
        <f>'Data In'!#REF!</f>
        <v>#REF!</v>
      </c>
      <c r="G347" s="4" t="e">
        <f>'Data In'!#REF!</f>
        <v>#REF!</v>
      </c>
      <c r="H347" s="3" t="e">
        <f t="shared" si="26"/>
        <v>#VALUE!</v>
      </c>
      <c r="I347" s="1" t="e">
        <f t="shared" si="23"/>
        <v>#REF!</v>
      </c>
      <c r="J347" s="1" t="e">
        <f>IF(Table15[[#This Row],[Rising Through Threshold]],Table15[[#This Row],[Start time]],J346)</f>
        <v>#REF!</v>
      </c>
      <c r="K347" s="1" t="e">
        <f>IF(AND(Table15[[#This Row],[Rising Through Threshold]],J346&gt;0),J347-J346,"")</f>
        <v>#REF!</v>
      </c>
    </row>
    <row r="348" spans="1:11" x14ac:dyDescent="0.45">
      <c r="A348" s="1" t="s">
        <v>365</v>
      </c>
      <c r="B348" s="1">
        <f t="shared" si="25"/>
        <v>6</v>
      </c>
      <c r="C348" s="1">
        <f t="shared" si="24"/>
        <v>12</v>
      </c>
      <c r="D348" s="1">
        <f t="shared" si="24"/>
        <v>17</v>
      </c>
      <c r="E348" s="1" t="e">
        <f t="shared" si="24"/>
        <v>#VALUE!</v>
      </c>
      <c r="F348" s="3" t="e">
        <f>'Data In'!#REF!</f>
        <v>#REF!</v>
      </c>
      <c r="G348" s="4" t="e">
        <f>'Data In'!#REF!</f>
        <v>#REF!</v>
      </c>
      <c r="H348" s="3" t="e">
        <f t="shared" si="26"/>
        <v>#VALUE!</v>
      </c>
      <c r="I348" s="1" t="e">
        <f t="shared" si="23"/>
        <v>#REF!</v>
      </c>
      <c r="J348" s="1" t="e">
        <f>IF(Table15[[#This Row],[Rising Through Threshold]],Table15[[#This Row],[Start time]],J347)</f>
        <v>#REF!</v>
      </c>
      <c r="K348" s="1" t="e">
        <f>IF(AND(Table15[[#This Row],[Rising Through Threshold]],J347&gt;0),J348-J347,"")</f>
        <v>#REF!</v>
      </c>
    </row>
    <row r="349" spans="1:11" x14ac:dyDescent="0.45">
      <c r="A349" s="1" t="s">
        <v>366</v>
      </c>
      <c r="B349" s="1">
        <f t="shared" si="25"/>
        <v>6</v>
      </c>
      <c r="C349" s="1">
        <f t="shared" si="24"/>
        <v>12</v>
      </c>
      <c r="D349" s="1">
        <f t="shared" si="24"/>
        <v>17</v>
      </c>
      <c r="E349" s="1" t="e">
        <f t="shared" si="24"/>
        <v>#VALUE!</v>
      </c>
      <c r="F349" s="3" t="e">
        <f>'Data In'!#REF!</f>
        <v>#REF!</v>
      </c>
      <c r="G349" s="4" t="e">
        <f>'Data In'!#REF!</f>
        <v>#REF!</v>
      </c>
      <c r="H349" s="3" t="e">
        <f t="shared" si="26"/>
        <v>#VALUE!</v>
      </c>
      <c r="I349" s="1" t="e">
        <f t="shared" si="23"/>
        <v>#REF!</v>
      </c>
      <c r="J349" s="1" t="e">
        <f>IF(Table15[[#This Row],[Rising Through Threshold]],Table15[[#This Row],[Start time]],J348)</f>
        <v>#REF!</v>
      </c>
      <c r="K349" s="1" t="e">
        <f>IF(AND(Table15[[#This Row],[Rising Through Threshold]],J348&gt;0),J349-J348,"")</f>
        <v>#REF!</v>
      </c>
    </row>
    <row r="350" spans="1:11" x14ac:dyDescent="0.45">
      <c r="A350" s="1" t="s">
        <v>367</v>
      </c>
      <c r="B350" s="1">
        <f t="shared" si="25"/>
        <v>6</v>
      </c>
      <c r="C350" s="1">
        <f t="shared" si="24"/>
        <v>12</v>
      </c>
      <c r="D350" s="1">
        <f t="shared" si="24"/>
        <v>17</v>
      </c>
      <c r="E350" s="1" t="e">
        <f t="shared" si="24"/>
        <v>#VALUE!</v>
      </c>
      <c r="F350" s="3" t="e">
        <f>'Data In'!#REF!</f>
        <v>#REF!</v>
      </c>
      <c r="G350" s="4" t="e">
        <f>'Data In'!#REF!</f>
        <v>#REF!</v>
      </c>
      <c r="H350" s="3" t="e">
        <f t="shared" si="26"/>
        <v>#VALUE!</v>
      </c>
      <c r="I350" s="1" t="e">
        <f t="shared" si="23"/>
        <v>#REF!</v>
      </c>
      <c r="J350" s="1" t="e">
        <f>IF(Table15[[#This Row],[Rising Through Threshold]],Table15[[#This Row],[Start time]],J349)</f>
        <v>#REF!</v>
      </c>
      <c r="K350" s="1" t="e">
        <f>IF(AND(Table15[[#This Row],[Rising Through Threshold]],J349&gt;0),J350-J349,"")</f>
        <v>#REF!</v>
      </c>
    </row>
    <row r="351" spans="1:11" x14ac:dyDescent="0.45">
      <c r="A351" s="1" t="s">
        <v>368</v>
      </c>
      <c r="B351" s="1">
        <f t="shared" si="25"/>
        <v>6</v>
      </c>
      <c r="C351" s="1">
        <f t="shared" si="24"/>
        <v>12</v>
      </c>
      <c r="D351" s="1">
        <f t="shared" si="24"/>
        <v>17</v>
      </c>
      <c r="E351" s="1" t="e">
        <f t="shared" si="24"/>
        <v>#VALUE!</v>
      </c>
      <c r="F351" s="3" t="e">
        <f>'Data In'!#REF!</f>
        <v>#REF!</v>
      </c>
      <c r="G351" s="4" t="e">
        <f>'Data In'!#REF!</f>
        <v>#REF!</v>
      </c>
      <c r="H351" s="3" t="e">
        <f t="shared" si="26"/>
        <v>#VALUE!</v>
      </c>
      <c r="I351" s="1" t="e">
        <f t="shared" si="23"/>
        <v>#REF!</v>
      </c>
      <c r="J351" s="1" t="e">
        <f>IF(Table15[[#This Row],[Rising Through Threshold]],Table15[[#This Row],[Start time]],J350)</f>
        <v>#REF!</v>
      </c>
      <c r="K351" s="1" t="e">
        <f>IF(AND(Table15[[#This Row],[Rising Through Threshold]],J350&gt;0),J351-J350,"")</f>
        <v>#REF!</v>
      </c>
    </row>
    <row r="352" spans="1:11" x14ac:dyDescent="0.45">
      <c r="A352" s="1" t="s">
        <v>369</v>
      </c>
      <c r="B352" s="1">
        <f t="shared" si="25"/>
        <v>6</v>
      </c>
      <c r="C352" s="1">
        <f t="shared" si="24"/>
        <v>12</v>
      </c>
      <c r="D352" s="1">
        <f t="shared" si="24"/>
        <v>17</v>
      </c>
      <c r="E352" s="1" t="e">
        <f t="shared" si="24"/>
        <v>#VALUE!</v>
      </c>
      <c r="F352" s="3" t="e">
        <f>'Data In'!#REF!</f>
        <v>#REF!</v>
      </c>
      <c r="G352" s="4" t="e">
        <f>'Data In'!#REF!</f>
        <v>#REF!</v>
      </c>
      <c r="H352" s="3" t="e">
        <f t="shared" si="26"/>
        <v>#VALUE!</v>
      </c>
      <c r="I352" s="1" t="e">
        <f t="shared" si="23"/>
        <v>#REF!</v>
      </c>
      <c r="J352" s="1" t="e">
        <f>IF(Table15[[#This Row],[Rising Through Threshold]],Table15[[#This Row],[Start time]],J351)</f>
        <v>#REF!</v>
      </c>
      <c r="K352" s="1" t="e">
        <f>IF(AND(Table15[[#This Row],[Rising Through Threshold]],J351&gt;0),J352-J351,"")</f>
        <v>#REF!</v>
      </c>
    </row>
    <row r="353" spans="1:11" x14ac:dyDescent="0.45">
      <c r="A353" s="1" t="s">
        <v>370</v>
      </c>
      <c r="B353" s="1">
        <f t="shared" si="25"/>
        <v>6</v>
      </c>
      <c r="C353" s="1">
        <f t="shared" si="24"/>
        <v>12</v>
      </c>
      <c r="D353" s="1">
        <f t="shared" si="24"/>
        <v>17</v>
      </c>
      <c r="E353" s="1" t="e">
        <f t="shared" si="24"/>
        <v>#VALUE!</v>
      </c>
      <c r="F353" s="3" t="e">
        <f>'Data In'!#REF!</f>
        <v>#REF!</v>
      </c>
      <c r="G353" s="4" t="e">
        <f>'Data In'!#REF!</f>
        <v>#REF!</v>
      </c>
      <c r="H353" s="3" t="e">
        <f t="shared" si="26"/>
        <v>#VALUE!</v>
      </c>
      <c r="I353" s="1" t="e">
        <f t="shared" si="23"/>
        <v>#REF!</v>
      </c>
      <c r="J353" s="1" t="e">
        <f>IF(Table15[[#This Row],[Rising Through Threshold]],Table15[[#This Row],[Start time]],J352)</f>
        <v>#REF!</v>
      </c>
      <c r="K353" s="1" t="e">
        <f>IF(AND(Table15[[#This Row],[Rising Through Threshold]],J352&gt;0),J353-J352,"")</f>
        <v>#REF!</v>
      </c>
    </row>
    <row r="354" spans="1:11" x14ac:dyDescent="0.45">
      <c r="A354" s="1" t="s">
        <v>371</v>
      </c>
      <c r="B354" s="1">
        <f t="shared" si="25"/>
        <v>6</v>
      </c>
      <c r="C354" s="1">
        <f t="shared" si="24"/>
        <v>12</v>
      </c>
      <c r="D354" s="1">
        <f t="shared" si="24"/>
        <v>17</v>
      </c>
      <c r="E354" s="1" t="e">
        <f t="shared" si="24"/>
        <v>#VALUE!</v>
      </c>
      <c r="F354" s="3" t="e">
        <f>'Data In'!#REF!</f>
        <v>#REF!</v>
      </c>
      <c r="G354" s="4" t="e">
        <f>'Data In'!#REF!</f>
        <v>#REF!</v>
      </c>
      <c r="H354" s="3" t="e">
        <f t="shared" si="26"/>
        <v>#VALUE!</v>
      </c>
      <c r="I354" s="1" t="e">
        <f t="shared" si="23"/>
        <v>#REF!</v>
      </c>
      <c r="J354" s="1" t="e">
        <f>IF(Table15[[#This Row],[Rising Through Threshold]],Table15[[#This Row],[Start time]],J353)</f>
        <v>#REF!</v>
      </c>
      <c r="K354" s="1" t="e">
        <f>IF(AND(Table15[[#This Row],[Rising Through Threshold]],J353&gt;0),J354-J353,"")</f>
        <v>#REF!</v>
      </c>
    </row>
    <row r="355" spans="1:11" x14ac:dyDescent="0.45">
      <c r="A355" s="1" t="s">
        <v>372</v>
      </c>
      <c r="B355" s="1">
        <f t="shared" si="25"/>
        <v>6</v>
      </c>
      <c r="C355" s="1">
        <f t="shared" si="24"/>
        <v>12</v>
      </c>
      <c r="D355" s="1">
        <f t="shared" si="24"/>
        <v>17</v>
      </c>
      <c r="E355" s="1" t="e">
        <f t="shared" si="24"/>
        <v>#VALUE!</v>
      </c>
      <c r="F355" s="3" t="e">
        <f>'Data In'!#REF!</f>
        <v>#REF!</v>
      </c>
      <c r="G355" s="4" t="e">
        <f>'Data In'!#REF!</f>
        <v>#REF!</v>
      </c>
      <c r="H355" s="3" t="e">
        <f t="shared" si="26"/>
        <v>#VALUE!</v>
      </c>
      <c r="I355" s="1" t="e">
        <f t="shared" si="23"/>
        <v>#REF!</v>
      </c>
      <c r="J355" s="1" t="e">
        <f>IF(Table15[[#This Row],[Rising Through Threshold]],Table15[[#This Row],[Start time]],J354)</f>
        <v>#REF!</v>
      </c>
      <c r="K355" s="1" t="e">
        <f>IF(AND(Table15[[#This Row],[Rising Through Threshold]],J354&gt;0),J355-J354,"")</f>
        <v>#REF!</v>
      </c>
    </row>
    <row r="356" spans="1:11" x14ac:dyDescent="0.45">
      <c r="A356" s="1" t="s">
        <v>373</v>
      </c>
      <c r="B356" s="1">
        <f t="shared" si="25"/>
        <v>6</v>
      </c>
      <c r="C356" s="1">
        <f t="shared" si="24"/>
        <v>12</v>
      </c>
      <c r="D356" s="1">
        <f t="shared" si="24"/>
        <v>17</v>
      </c>
      <c r="E356" s="1" t="e">
        <f t="shared" si="24"/>
        <v>#VALUE!</v>
      </c>
      <c r="F356" s="3" t="e">
        <f>'Data In'!#REF!</f>
        <v>#REF!</v>
      </c>
      <c r="G356" s="4" t="e">
        <f>'Data In'!#REF!</f>
        <v>#REF!</v>
      </c>
      <c r="H356" s="3" t="e">
        <f t="shared" si="26"/>
        <v>#VALUE!</v>
      </c>
      <c r="I356" s="1" t="e">
        <f t="shared" si="23"/>
        <v>#REF!</v>
      </c>
      <c r="J356" s="1" t="e">
        <f>IF(Table15[[#This Row],[Rising Through Threshold]],Table15[[#This Row],[Start time]],J355)</f>
        <v>#REF!</v>
      </c>
      <c r="K356" s="1" t="e">
        <f>IF(AND(Table15[[#This Row],[Rising Through Threshold]],J355&gt;0),J356-J355,"")</f>
        <v>#REF!</v>
      </c>
    </row>
    <row r="357" spans="1:11" x14ac:dyDescent="0.45">
      <c r="A357" s="1" t="s">
        <v>374</v>
      </c>
      <c r="B357" s="1">
        <f t="shared" si="25"/>
        <v>6</v>
      </c>
      <c r="C357" s="1">
        <f t="shared" si="24"/>
        <v>12</v>
      </c>
      <c r="D357" s="1">
        <f t="shared" si="24"/>
        <v>17</v>
      </c>
      <c r="E357" s="1" t="e">
        <f t="shared" si="24"/>
        <v>#VALUE!</v>
      </c>
      <c r="F357" s="3" t="e">
        <f>'Data In'!#REF!</f>
        <v>#REF!</v>
      </c>
      <c r="G357" s="4" t="e">
        <f>'Data In'!#REF!</f>
        <v>#REF!</v>
      </c>
      <c r="H357" s="3" t="e">
        <f t="shared" si="26"/>
        <v>#VALUE!</v>
      </c>
      <c r="I357" s="1" t="e">
        <f t="shared" si="23"/>
        <v>#REF!</v>
      </c>
      <c r="J357" s="1" t="e">
        <f>IF(Table15[[#This Row],[Rising Through Threshold]],Table15[[#This Row],[Start time]],J356)</f>
        <v>#REF!</v>
      </c>
      <c r="K357" s="1" t="e">
        <f>IF(AND(Table15[[#This Row],[Rising Through Threshold]],J356&gt;0),J357-J356,"")</f>
        <v>#REF!</v>
      </c>
    </row>
    <row r="358" spans="1:11" x14ac:dyDescent="0.45">
      <c r="A358" s="1" t="s">
        <v>375</v>
      </c>
      <c r="B358" s="1">
        <f t="shared" si="25"/>
        <v>6</v>
      </c>
      <c r="C358" s="1">
        <f t="shared" si="24"/>
        <v>12</v>
      </c>
      <c r="D358" s="1">
        <f t="shared" si="24"/>
        <v>17</v>
      </c>
      <c r="E358" s="1" t="e">
        <f t="shared" si="24"/>
        <v>#VALUE!</v>
      </c>
      <c r="F358" s="3" t="e">
        <f>'Data In'!#REF!</f>
        <v>#REF!</v>
      </c>
      <c r="G358" s="4" t="e">
        <f>'Data In'!#REF!</f>
        <v>#REF!</v>
      </c>
      <c r="H358" s="3" t="e">
        <f t="shared" si="26"/>
        <v>#VALUE!</v>
      </c>
      <c r="I358" s="1" t="e">
        <f t="shared" si="23"/>
        <v>#REF!</v>
      </c>
      <c r="J358" s="1" t="e">
        <f>IF(Table15[[#This Row],[Rising Through Threshold]],Table15[[#This Row],[Start time]],J357)</f>
        <v>#REF!</v>
      </c>
      <c r="K358" s="1" t="e">
        <f>IF(AND(Table15[[#This Row],[Rising Through Threshold]],J357&gt;0),J358-J357,"")</f>
        <v>#REF!</v>
      </c>
    </row>
    <row r="359" spans="1:11" x14ac:dyDescent="0.45">
      <c r="A359" s="1" t="s">
        <v>376</v>
      </c>
      <c r="B359" s="1">
        <f t="shared" si="25"/>
        <v>6</v>
      </c>
      <c r="C359" s="1">
        <f t="shared" si="24"/>
        <v>12</v>
      </c>
      <c r="D359" s="1">
        <f t="shared" si="24"/>
        <v>17</v>
      </c>
      <c r="E359" s="1" t="e">
        <f t="shared" si="24"/>
        <v>#VALUE!</v>
      </c>
      <c r="F359" s="3" t="e">
        <f>'Data In'!#REF!</f>
        <v>#REF!</v>
      </c>
      <c r="G359" s="4" t="e">
        <f>'Data In'!#REF!</f>
        <v>#REF!</v>
      </c>
      <c r="H359" s="3" t="e">
        <f t="shared" si="26"/>
        <v>#VALUE!</v>
      </c>
      <c r="I359" s="1" t="e">
        <f t="shared" si="23"/>
        <v>#REF!</v>
      </c>
      <c r="J359" s="1" t="e">
        <f>IF(Table15[[#This Row],[Rising Through Threshold]],Table15[[#This Row],[Start time]],J358)</f>
        <v>#REF!</v>
      </c>
      <c r="K359" s="1" t="e">
        <f>IF(AND(Table15[[#This Row],[Rising Through Threshold]],J358&gt;0),J359-J358,"")</f>
        <v>#REF!</v>
      </c>
    </row>
    <row r="360" spans="1:11" x14ac:dyDescent="0.45">
      <c r="A360" s="1" t="s">
        <v>377</v>
      </c>
      <c r="B360" s="1">
        <f t="shared" si="25"/>
        <v>6</v>
      </c>
      <c r="C360" s="1">
        <f t="shared" si="24"/>
        <v>12</v>
      </c>
      <c r="D360" s="1">
        <f t="shared" si="24"/>
        <v>17</v>
      </c>
      <c r="E360" s="1" t="e">
        <f t="shared" si="24"/>
        <v>#VALUE!</v>
      </c>
      <c r="F360" s="3" t="e">
        <f>'Data In'!#REF!</f>
        <v>#REF!</v>
      </c>
      <c r="G360" s="4" t="e">
        <f>'Data In'!#REF!</f>
        <v>#REF!</v>
      </c>
      <c r="H360" s="3" t="e">
        <f t="shared" si="26"/>
        <v>#VALUE!</v>
      </c>
      <c r="I360" s="1" t="e">
        <f t="shared" si="23"/>
        <v>#REF!</v>
      </c>
      <c r="J360" s="1" t="e">
        <f>IF(Table15[[#This Row],[Rising Through Threshold]],Table15[[#This Row],[Start time]],J359)</f>
        <v>#REF!</v>
      </c>
      <c r="K360" s="1" t="e">
        <f>IF(AND(Table15[[#This Row],[Rising Through Threshold]],J359&gt;0),J360-J359,"")</f>
        <v>#REF!</v>
      </c>
    </row>
    <row r="361" spans="1:11" x14ac:dyDescent="0.45">
      <c r="A361" s="1" t="s">
        <v>378</v>
      </c>
      <c r="B361" s="1">
        <f t="shared" si="25"/>
        <v>6</v>
      </c>
      <c r="C361" s="1">
        <f t="shared" si="24"/>
        <v>12</v>
      </c>
      <c r="D361" s="1">
        <f t="shared" si="24"/>
        <v>17</v>
      </c>
      <c r="E361" s="1" t="e">
        <f t="shared" si="24"/>
        <v>#VALUE!</v>
      </c>
      <c r="F361" s="3" t="e">
        <f>'Data In'!#REF!</f>
        <v>#REF!</v>
      </c>
      <c r="G361" s="4" t="e">
        <f>'Data In'!#REF!</f>
        <v>#REF!</v>
      </c>
      <c r="H361" s="3" t="e">
        <f t="shared" si="26"/>
        <v>#VALUE!</v>
      </c>
      <c r="I361" s="1" t="e">
        <f t="shared" si="23"/>
        <v>#REF!</v>
      </c>
      <c r="J361" s="1" t="e">
        <f>IF(Table15[[#This Row],[Rising Through Threshold]],Table15[[#This Row],[Start time]],J360)</f>
        <v>#REF!</v>
      </c>
      <c r="K361" s="1" t="e">
        <f>IF(AND(Table15[[#This Row],[Rising Through Threshold]],J360&gt;0),J361-J360,"")</f>
        <v>#REF!</v>
      </c>
    </row>
    <row r="362" spans="1:11" x14ac:dyDescent="0.45">
      <c r="A362" s="1" t="s">
        <v>379</v>
      </c>
      <c r="B362" s="1">
        <f t="shared" si="25"/>
        <v>6</v>
      </c>
      <c r="C362" s="1">
        <f t="shared" si="24"/>
        <v>12</v>
      </c>
      <c r="D362" s="1">
        <f t="shared" si="24"/>
        <v>17</v>
      </c>
      <c r="E362" s="1" t="e">
        <f t="shared" si="24"/>
        <v>#VALUE!</v>
      </c>
      <c r="F362" s="3" t="e">
        <f>'Data In'!#REF!</f>
        <v>#REF!</v>
      </c>
      <c r="G362" s="4" t="e">
        <f>'Data In'!#REF!</f>
        <v>#REF!</v>
      </c>
      <c r="H362" s="3" t="e">
        <f t="shared" si="26"/>
        <v>#VALUE!</v>
      </c>
      <c r="I362" s="1" t="e">
        <f t="shared" si="23"/>
        <v>#REF!</v>
      </c>
      <c r="J362" s="1" t="e">
        <f>IF(Table15[[#This Row],[Rising Through Threshold]],Table15[[#This Row],[Start time]],J361)</f>
        <v>#REF!</v>
      </c>
      <c r="K362" s="1" t="e">
        <f>IF(AND(Table15[[#This Row],[Rising Through Threshold]],J361&gt;0),J362-J361,"")</f>
        <v>#REF!</v>
      </c>
    </row>
    <row r="363" spans="1:11" x14ac:dyDescent="0.45">
      <c r="A363" s="1" t="s">
        <v>19</v>
      </c>
      <c r="B363" s="1">
        <f t="shared" si="25"/>
        <v>6</v>
      </c>
      <c r="C363" s="1">
        <f t="shared" si="24"/>
        <v>12</v>
      </c>
      <c r="D363" s="1">
        <f t="shared" si="24"/>
        <v>17</v>
      </c>
      <c r="E363" s="1" t="e">
        <f t="shared" si="24"/>
        <v>#VALUE!</v>
      </c>
      <c r="F363" s="3" t="e">
        <f>'Data In'!#REF!</f>
        <v>#REF!</v>
      </c>
      <c r="G363" s="4" t="e">
        <f>'Data In'!#REF!</f>
        <v>#REF!</v>
      </c>
      <c r="H363" s="3" t="e">
        <f t="shared" si="26"/>
        <v>#VALUE!</v>
      </c>
      <c r="I363" s="1" t="e">
        <f t="shared" si="23"/>
        <v>#REF!</v>
      </c>
      <c r="J363" s="1" t="e">
        <f>IF(Table15[[#This Row],[Rising Through Threshold]],Table15[[#This Row],[Start time]],J362)</f>
        <v>#REF!</v>
      </c>
      <c r="K363" s="1" t="e">
        <f>IF(AND(Table15[[#This Row],[Rising Through Threshold]],J362&gt;0),J363-J362,"")</f>
        <v>#REF!</v>
      </c>
    </row>
    <row r="364" spans="1:11" x14ac:dyDescent="0.45">
      <c r="A364" s="1" t="s">
        <v>380</v>
      </c>
      <c r="B364" s="1">
        <f t="shared" si="25"/>
        <v>6</v>
      </c>
      <c r="C364" s="1">
        <f t="shared" si="24"/>
        <v>12</v>
      </c>
      <c r="D364" s="1">
        <f t="shared" si="24"/>
        <v>17</v>
      </c>
      <c r="E364" s="1" t="e">
        <f t="shared" si="24"/>
        <v>#VALUE!</v>
      </c>
      <c r="F364" s="3" t="e">
        <f>'Data In'!#REF!</f>
        <v>#REF!</v>
      </c>
      <c r="G364" s="4" t="e">
        <f>'Data In'!#REF!</f>
        <v>#REF!</v>
      </c>
      <c r="H364" s="3" t="e">
        <f t="shared" si="26"/>
        <v>#VALUE!</v>
      </c>
      <c r="I364" s="1" t="e">
        <f t="shared" si="23"/>
        <v>#REF!</v>
      </c>
      <c r="J364" s="1" t="e">
        <f>IF(Table15[[#This Row],[Rising Through Threshold]],Table15[[#This Row],[Start time]],J363)</f>
        <v>#REF!</v>
      </c>
      <c r="K364" s="1" t="e">
        <f>IF(AND(Table15[[#This Row],[Rising Through Threshold]],J363&gt;0),J364-J363,"")</f>
        <v>#REF!</v>
      </c>
    </row>
    <row r="365" spans="1:11" x14ac:dyDescent="0.45">
      <c r="A365" s="1" t="s">
        <v>381</v>
      </c>
      <c r="B365" s="1">
        <f t="shared" si="25"/>
        <v>6</v>
      </c>
      <c r="C365" s="1">
        <f t="shared" si="24"/>
        <v>12</v>
      </c>
      <c r="D365" s="1">
        <f t="shared" si="24"/>
        <v>17</v>
      </c>
      <c r="E365" s="1" t="e">
        <f t="shared" si="24"/>
        <v>#VALUE!</v>
      </c>
      <c r="F365" s="3" t="e">
        <f>'Data In'!#REF!</f>
        <v>#REF!</v>
      </c>
      <c r="G365" s="4" t="e">
        <f>'Data In'!#REF!</f>
        <v>#REF!</v>
      </c>
      <c r="H365" s="3" t="e">
        <f t="shared" si="26"/>
        <v>#VALUE!</v>
      </c>
      <c r="I365" s="1" t="e">
        <f t="shared" ref="I365:I401" si="27">AND(G364&lt;Threshold,G365&gt;Threshold)</f>
        <v>#REF!</v>
      </c>
      <c r="J365" s="1" t="e">
        <f>IF(Table15[[#This Row],[Rising Through Threshold]],Table15[[#This Row],[Start time]],J364)</f>
        <v>#REF!</v>
      </c>
      <c r="K365" s="1" t="e">
        <f>IF(AND(Table15[[#This Row],[Rising Through Threshold]],J364&gt;0),J365-J364,"")</f>
        <v>#REF!</v>
      </c>
    </row>
    <row r="366" spans="1:11" x14ac:dyDescent="0.45">
      <c r="A366" s="1" t="s">
        <v>382</v>
      </c>
      <c r="B366" s="1">
        <f t="shared" si="25"/>
        <v>6</v>
      </c>
      <c r="C366" s="1">
        <f t="shared" si="24"/>
        <v>12</v>
      </c>
      <c r="D366" s="1">
        <f t="shared" si="24"/>
        <v>17</v>
      </c>
      <c r="E366" s="1" t="e">
        <f t="shared" si="24"/>
        <v>#VALUE!</v>
      </c>
      <c r="F366" s="3" t="e">
        <f>'Data In'!#REF!</f>
        <v>#REF!</v>
      </c>
      <c r="G366" s="4" t="e">
        <f>'Data In'!#REF!</f>
        <v>#REF!</v>
      </c>
      <c r="H366" s="3" t="e">
        <f t="shared" si="26"/>
        <v>#VALUE!</v>
      </c>
      <c r="I366" s="1" t="e">
        <f t="shared" si="27"/>
        <v>#REF!</v>
      </c>
      <c r="J366" s="1" t="e">
        <f>IF(Table15[[#This Row],[Rising Through Threshold]],Table15[[#This Row],[Start time]],J365)</f>
        <v>#REF!</v>
      </c>
      <c r="K366" s="1" t="e">
        <f>IF(AND(Table15[[#This Row],[Rising Through Threshold]],J365&gt;0),J366-J365,"")</f>
        <v>#REF!</v>
      </c>
    </row>
    <row r="367" spans="1:11" x14ac:dyDescent="0.45">
      <c r="A367" s="1" t="s">
        <v>383</v>
      </c>
      <c r="B367" s="1">
        <f t="shared" si="25"/>
        <v>6</v>
      </c>
      <c r="C367" s="1">
        <f t="shared" si="24"/>
        <v>12</v>
      </c>
      <c r="D367" s="1">
        <f t="shared" si="24"/>
        <v>17</v>
      </c>
      <c r="E367" s="1" t="e">
        <f t="shared" si="24"/>
        <v>#VALUE!</v>
      </c>
      <c r="F367" s="3" t="e">
        <f>'Data In'!#REF!</f>
        <v>#REF!</v>
      </c>
      <c r="G367" s="4" t="e">
        <f>'Data In'!#REF!</f>
        <v>#REF!</v>
      </c>
      <c r="H367" s="3" t="e">
        <f t="shared" si="26"/>
        <v>#VALUE!</v>
      </c>
      <c r="I367" s="1" t="e">
        <f t="shared" si="27"/>
        <v>#REF!</v>
      </c>
      <c r="J367" s="1" t="e">
        <f>IF(Table15[[#This Row],[Rising Through Threshold]],Table15[[#This Row],[Start time]],J366)</f>
        <v>#REF!</v>
      </c>
      <c r="K367" s="1" t="e">
        <f>IF(AND(Table15[[#This Row],[Rising Through Threshold]],J366&gt;0),J367-J366,"")</f>
        <v>#REF!</v>
      </c>
    </row>
    <row r="368" spans="1:11" x14ac:dyDescent="0.45">
      <c r="A368" s="1" t="s">
        <v>384</v>
      </c>
      <c r="B368" s="1">
        <f t="shared" si="25"/>
        <v>6</v>
      </c>
      <c r="C368" s="1">
        <f t="shared" si="24"/>
        <v>12</v>
      </c>
      <c r="D368" s="1">
        <f t="shared" si="24"/>
        <v>17</v>
      </c>
      <c r="E368" s="1" t="e">
        <f t="shared" si="24"/>
        <v>#VALUE!</v>
      </c>
      <c r="F368" s="3" t="e">
        <f>'Data In'!#REF!</f>
        <v>#REF!</v>
      </c>
      <c r="G368" s="4" t="e">
        <f>'Data In'!#REF!</f>
        <v>#REF!</v>
      </c>
      <c r="H368" s="3" t="e">
        <f t="shared" si="26"/>
        <v>#VALUE!</v>
      </c>
      <c r="I368" s="1" t="e">
        <f t="shared" si="27"/>
        <v>#REF!</v>
      </c>
      <c r="J368" s="1" t="e">
        <f>IF(Table15[[#This Row],[Rising Through Threshold]],Table15[[#This Row],[Start time]],J367)</f>
        <v>#REF!</v>
      </c>
      <c r="K368" s="1" t="e">
        <f>IF(AND(Table15[[#This Row],[Rising Through Threshold]],J367&gt;0),J368-J367,"")</f>
        <v>#REF!</v>
      </c>
    </row>
    <row r="369" spans="1:11" x14ac:dyDescent="0.45">
      <c r="A369" s="1" t="s">
        <v>385</v>
      </c>
      <c r="B369" s="1">
        <f t="shared" si="25"/>
        <v>6</v>
      </c>
      <c r="C369" s="1">
        <f t="shared" si="24"/>
        <v>12</v>
      </c>
      <c r="D369" s="1">
        <f t="shared" si="24"/>
        <v>17</v>
      </c>
      <c r="E369" s="1" t="e">
        <f t="shared" si="24"/>
        <v>#VALUE!</v>
      </c>
      <c r="F369" s="3" t="e">
        <f>'Data In'!#REF!</f>
        <v>#REF!</v>
      </c>
      <c r="G369" s="4" t="e">
        <f>'Data In'!#REF!</f>
        <v>#REF!</v>
      </c>
      <c r="H369" s="3" t="e">
        <f t="shared" si="26"/>
        <v>#VALUE!</v>
      </c>
      <c r="I369" s="1" t="e">
        <f t="shared" si="27"/>
        <v>#REF!</v>
      </c>
      <c r="J369" s="1" t="e">
        <f>IF(Table15[[#This Row],[Rising Through Threshold]],Table15[[#This Row],[Start time]],J368)</f>
        <v>#REF!</v>
      </c>
      <c r="K369" s="1" t="e">
        <f>IF(AND(Table15[[#This Row],[Rising Through Threshold]],J368&gt;0),J369-J368,"")</f>
        <v>#REF!</v>
      </c>
    </row>
    <row r="370" spans="1:11" x14ac:dyDescent="0.45">
      <c r="A370" s="1" t="s">
        <v>386</v>
      </c>
      <c r="B370" s="1">
        <f t="shared" si="25"/>
        <v>6</v>
      </c>
      <c r="C370" s="1">
        <f t="shared" si="24"/>
        <v>12</v>
      </c>
      <c r="D370" s="1">
        <f t="shared" si="24"/>
        <v>17</v>
      </c>
      <c r="E370" s="1" t="e">
        <f t="shared" si="24"/>
        <v>#VALUE!</v>
      </c>
      <c r="F370" s="3" t="e">
        <f>'Data In'!#REF!</f>
        <v>#REF!</v>
      </c>
      <c r="G370" s="4" t="e">
        <f>'Data In'!#REF!</f>
        <v>#REF!</v>
      </c>
      <c r="H370" s="3" t="e">
        <f t="shared" si="26"/>
        <v>#VALUE!</v>
      </c>
      <c r="I370" s="1" t="e">
        <f t="shared" si="27"/>
        <v>#REF!</v>
      </c>
      <c r="J370" s="1" t="e">
        <f>IF(Table15[[#This Row],[Rising Through Threshold]],Table15[[#This Row],[Start time]],J369)</f>
        <v>#REF!</v>
      </c>
      <c r="K370" s="1" t="e">
        <f>IF(AND(Table15[[#This Row],[Rising Through Threshold]],J369&gt;0),J370-J369,"")</f>
        <v>#REF!</v>
      </c>
    </row>
    <row r="371" spans="1:11" x14ac:dyDescent="0.45">
      <c r="A371" s="1" t="s">
        <v>387</v>
      </c>
      <c r="B371" s="1">
        <f t="shared" si="25"/>
        <v>6</v>
      </c>
      <c r="C371" s="1">
        <f t="shared" si="24"/>
        <v>12</v>
      </c>
      <c r="D371" s="1">
        <f t="shared" si="24"/>
        <v>17</v>
      </c>
      <c r="E371" s="1" t="e">
        <f t="shared" si="24"/>
        <v>#VALUE!</v>
      </c>
      <c r="F371" s="3" t="e">
        <f>'Data In'!#REF!</f>
        <v>#REF!</v>
      </c>
      <c r="G371" s="4" t="e">
        <f>'Data In'!#REF!</f>
        <v>#REF!</v>
      </c>
      <c r="H371" s="3" t="e">
        <f t="shared" si="26"/>
        <v>#VALUE!</v>
      </c>
      <c r="I371" s="1" t="e">
        <f t="shared" si="27"/>
        <v>#REF!</v>
      </c>
      <c r="J371" s="1" t="e">
        <f>IF(Table15[[#This Row],[Rising Through Threshold]],Table15[[#This Row],[Start time]],J370)</f>
        <v>#REF!</v>
      </c>
      <c r="K371" s="1" t="e">
        <f>IF(AND(Table15[[#This Row],[Rising Through Threshold]],J370&gt;0),J371-J370,"")</f>
        <v>#REF!</v>
      </c>
    </row>
    <row r="372" spans="1:11" x14ac:dyDescent="0.45">
      <c r="A372" s="1" t="s">
        <v>388</v>
      </c>
      <c r="B372" s="1">
        <f t="shared" si="25"/>
        <v>6</v>
      </c>
      <c r="C372" s="1">
        <f t="shared" si="24"/>
        <v>12</v>
      </c>
      <c r="D372" s="1">
        <f t="shared" si="24"/>
        <v>17</v>
      </c>
      <c r="E372" s="1" t="e">
        <f t="shared" si="24"/>
        <v>#VALUE!</v>
      </c>
      <c r="F372" s="3" t="e">
        <f>'Data In'!#REF!</f>
        <v>#REF!</v>
      </c>
      <c r="G372" s="4" t="e">
        <f>'Data In'!#REF!</f>
        <v>#REF!</v>
      </c>
      <c r="H372" s="3" t="e">
        <f t="shared" si="26"/>
        <v>#VALUE!</v>
      </c>
      <c r="I372" s="1" t="e">
        <f t="shared" si="27"/>
        <v>#REF!</v>
      </c>
      <c r="J372" s="1" t="e">
        <f>IF(Table15[[#This Row],[Rising Through Threshold]],Table15[[#This Row],[Start time]],J371)</f>
        <v>#REF!</v>
      </c>
      <c r="K372" s="1" t="e">
        <f>IF(AND(Table15[[#This Row],[Rising Through Threshold]],J371&gt;0),J372-J371,"")</f>
        <v>#REF!</v>
      </c>
    </row>
    <row r="373" spans="1:11" x14ac:dyDescent="0.45">
      <c r="A373" s="1" t="s">
        <v>389</v>
      </c>
      <c r="B373" s="1">
        <f t="shared" si="25"/>
        <v>6</v>
      </c>
      <c r="C373" s="1">
        <f t="shared" si="24"/>
        <v>12</v>
      </c>
      <c r="D373" s="1">
        <f t="shared" si="24"/>
        <v>17</v>
      </c>
      <c r="E373" s="1" t="e">
        <f t="shared" si="24"/>
        <v>#VALUE!</v>
      </c>
      <c r="F373" s="3" t="e">
        <f>'Data In'!#REF!</f>
        <v>#REF!</v>
      </c>
      <c r="G373" s="4" t="e">
        <f>'Data In'!#REF!</f>
        <v>#REF!</v>
      </c>
      <c r="H373" s="3" t="e">
        <f t="shared" si="26"/>
        <v>#VALUE!</v>
      </c>
      <c r="I373" s="1" t="e">
        <f t="shared" si="27"/>
        <v>#REF!</v>
      </c>
      <c r="J373" s="1" t="e">
        <f>IF(Table15[[#This Row],[Rising Through Threshold]],Table15[[#This Row],[Start time]],J372)</f>
        <v>#REF!</v>
      </c>
      <c r="K373" s="1" t="e">
        <f>IF(AND(Table15[[#This Row],[Rising Through Threshold]],J372&gt;0),J373-J372,"")</f>
        <v>#REF!</v>
      </c>
    </row>
    <row r="374" spans="1:11" x14ac:dyDescent="0.45">
      <c r="A374" s="1" t="s">
        <v>390</v>
      </c>
      <c r="B374" s="1">
        <f t="shared" si="25"/>
        <v>6</v>
      </c>
      <c r="C374" s="1">
        <f t="shared" si="24"/>
        <v>12</v>
      </c>
      <c r="D374" s="1">
        <f t="shared" si="24"/>
        <v>17</v>
      </c>
      <c r="E374" s="1" t="e">
        <f t="shared" si="24"/>
        <v>#VALUE!</v>
      </c>
      <c r="F374" s="3" t="e">
        <f>'Data In'!#REF!</f>
        <v>#REF!</v>
      </c>
      <c r="G374" s="4" t="e">
        <f>'Data In'!#REF!</f>
        <v>#REF!</v>
      </c>
      <c r="H374" s="3" t="e">
        <f t="shared" si="26"/>
        <v>#VALUE!</v>
      </c>
      <c r="I374" s="1" t="e">
        <f t="shared" si="27"/>
        <v>#REF!</v>
      </c>
      <c r="J374" s="1" t="e">
        <f>IF(Table15[[#This Row],[Rising Through Threshold]],Table15[[#This Row],[Start time]],J373)</f>
        <v>#REF!</v>
      </c>
      <c r="K374" s="1" t="e">
        <f>IF(AND(Table15[[#This Row],[Rising Through Threshold]],J373&gt;0),J374-J373,"")</f>
        <v>#REF!</v>
      </c>
    </row>
    <row r="375" spans="1:11" x14ac:dyDescent="0.45">
      <c r="A375" s="1" t="s">
        <v>391</v>
      </c>
      <c r="B375" s="1">
        <f t="shared" si="25"/>
        <v>6</v>
      </c>
      <c r="C375" s="1">
        <f t="shared" si="24"/>
        <v>12</v>
      </c>
      <c r="D375" s="1">
        <f t="shared" si="24"/>
        <v>17</v>
      </c>
      <c r="E375" s="1" t="e">
        <f t="shared" si="24"/>
        <v>#VALUE!</v>
      </c>
      <c r="F375" s="3" t="e">
        <f>'Data In'!#REF!</f>
        <v>#REF!</v>
      </c>
      <c r="G375" s="4" t="e">
        <f>'Data In'!#REF!</f>
        <v>#REF!</v>
      </c>
      <c r="H375" s="3" t="e">
        <f t="shared" si="26"/>
        <v>#VALUE!</v>
      </c>
      <c r="I375" s="1" t="e">
        <f t="shared" si="27"/>
        <v>#REF!</v>
      </c>
      <c r="J375" s="1" t="e">
        <f>IF(Table15[[#This Row],[Rising Through Threshold]],Table15[[#This Row],[Start time]],J374)</f>
        <v>#REF!</v>
      </c>
      <c r="K375" s="1" t="e">
        <f>IF(AND(Table15[[#This Row],[Rising Through Threshold]],J374&gt;0),J375-J374,"")</f>
        <v>#REF!</v>
      </c>
    </row>
    <row r="376" spans="1:11" x14ac:dyDescent="0.45">
      <c r="A376" s="1" t="s">
        <v>392</v>
      </c>
      <c r="B376" s="1">
        <f t="shared" si="25"/>
        <v>6</v>
      </c>
      <c r="C376" s="1">
        <f t="shared" si="24"/>
        <v>12</v>
      </c>
      <c r="D376" s="1">
        <f t="shared" si="24"/>
        <v>17</v>
      </c>
      <c r="E376" s="1" t="e">
        <f t="shared" si="24"/>
        <v>#VALUE!</v>
      </c>
      <c r="F376" s="3" t="e">
        <f>'Data In'!#REF!</f>
        <v>#REF!</v>
      </c>
      <c r="G376" s="4" t="e">
        <f>'Data In'!#REF!</f>
        <v>#REF!</v>
      </c>
      <c r="H376" s="3" t="e">
        <f t="shared" si="26"/>
        <v>#VALUE!</v>
      </c>
      <c r="I376" s="1" t="e">
        <f t="shared" si="27"/>
        <v>#REF!</v>
      </c>
      <c r="J376" s="1" t="e">
        <f>IF(Table15[[#This Row],[Rising Through Threshold]],Table15[[#This Row],[Start time]],J375)</f>
        <v>#REF!</v>
      </c>
      <c r="K376" s="1" t="e">
        <f>IF(AND(Table15[[#This Row],[Rising Through Threshold]],J375&gt;0),J376-J375,"")</f>
        <v>#REF!</v>
      </c>
    </row>
    <row r="377" spans="1:11" x14ac:dyDescent="0.45">
      <c r="A377" s="1" t="s">
        <v>393</v>
      </c>
      <c r="B377" s="1">
        <f t="shared" si="25"/>
        <v>6</v>
      </c>
      <c r="C377" s="1">
        <f t="shared" si="24"/>
        <v>12</v>
      </c>
      <c r="D377" s="1">
        <f t="shared" si="24"/>
        <v>17</v>
      </c>
      <c r="E377" s="1" t="e">
        <f t="shared" si="24"/>
        <v>#VALUE!</v>
      </c>
      <c r="F377" s="3" t="e">
        <f>'Data In'!#REF!</f>
        <v>#REF!</v>
      </c>
      <c r="G377" s="4" t="e">
        <f>'Data In'!#REF!</f>
        <v>#REF!</v>
      </c>
      <c r="H377" s="3" t="e">
        <f t="shared" si="26"/>
        <v>#VALUE!</v>
      </c>
      <c r="I377" s="1" t="e">
        <f t="shared" si="27"/>
        <v>#REF!</v>
      </c>
      <c r="J377" s="1" t="e">
        <f>IF(Table15[[#This Row],[Rising Through Threshold]],Table15[[#This Row],[Start time]],J376)</f>
        <v>#REF!</v>
      </c>
      <c r="K377" s="1" t="e">
        <f>IF(AND(Table15[[#This Row],[Rising Through Threshold]],J376&gt;0),J377-J376,"")</f>
        <v>#REF!</v>
      </c>
    </row>
    <row r="378" spans="1:11" x14ac:dyDescent="0.45">
      <c r="A378" s="1" t="s">
        <v>394</v>
      </c>
      <c r="B378" s="1">
        <f t="shared" si="25"/>
        <v>6</v>
      </c>
      <c r="C378" s="1">
        <f t="shared" si="24"/>
        <v>12</v>
      </c>
      <c r="D378" s="1">
        <f t="shared" si="24"/>
        <v>17</v>
      </c>
      <c r="E378" s="1" t="e">
        <f t="shared" si="24"/>
        <v>#VALUE!</v>
      </c>
      <c r="F378" s="3" t="e">
        <f>'Data In'!#REF!</f>
        <v>#REF!</v>
      </c>
      <c r="G378" s="4" t="e">
        <f>'Data In'!#REF!</f>
        <v>#REF!</v>
      </c>
      <c r="H378" s="3" t="e">
        <f t="shared" si="26"/>
        <v>#VALUE!</v>
      </c>
      <c r="I378" s="1" t="e">
        <f t="shared" si="27"/>
        <v>#REF!</v>
      </c>
      <c r="J378" s="1" t="e">
        <f>IF(Table15[[#This Row],[Rising Through Threshold]],Table15[[#This Row],[Start time]],J377)</f>
        <v>#REF!</v>
      </c>
      <c r="K378" s="1" t="e">
        <f>IF(AND(Table15[[#This Row],[Rising Through Threshold]],J377&gt;0),J378-J377,"")</f>
        <v>#REF!</v>
      </c>
    </row>
    <row r="379" spans="1:11" x14ac:dyDescent="0.45">
      <c r="A379" s="1" t="s">
        <v>395</v>
      </c>
      <c r="B379" s="1">
        <f t="shared" si="25"/>
        <v>6</v>
      </c>
      <c r="C379" s="1">
        <f t="shared" si="24"/>
        <v>12</v>
      </c>
      <c r="D379" s="1">
        <f t="shared" si="24"/>
        <v>17</v>
      </c>
      <c r="E379" s="1" t="e">
        <f t="shared" si="24"/>
        <v>#VALUE!</v>
      </c>
      <c r="F379" s="3" t="e">
        <f>'Data In'!#REF!</f>
        <v>#REF!</v>
      </c>
      <c r="G379" s="4" t="e">
        <f>'Data In'!#REF!</f>
        <v>#REF!</v>
      </c>
      <c r="H379" s="3" t="e">
        <f t="shared" si="26"/>
        <v>#VALUE!</v>
      </c>
      <c r="I379" s="1" t="e">
        <f t="shared" si="27"/>
        <v>#REF!</v>
      </c>
      <c r="J379" s="1" t="e">
        <f>IF(Table15[[#This Row],[Rising Through Threshold]],Table15[[#This Row],[Start time]],J378)</f>
        <v>#REF!</v>
      </c>
      <c r="K379" s="1" t="e">
        <f>IF(AND(Table15[[#This Row],[Rising Through Threshold]],J378&gt;0),J379-J378,"")</f>
        <v>#REF!</v>
      </c>
    </row>
    <row r="380" spans="1:11" x14ac:dyDescent="0.45">
      <c r="A380" s="1" t="s">
        <v>396</v>
      </c>
      <c r="B380" s="1">
        <f t="shared" si="25"/>
        <v>6</v>
      </c>
      <c r="C380" s="1">
        <f t="shared" si="24"/>
        <v>12</v>
      </c>
      <c r="D380" s="1">
        <f t="shared" si="24"/>
        <v>17</v>
      </c>
      <c r="E380" s="1" t="e">
        <f t="shared" si="24"/>
        <v>#VALUE!</v>
      </c>
      <c r="F380" s="3" t="e">
        <f>'Data In'!#REF!</f>
        <v>#REF!</v>
      </c>
      <c r="G380" s="4" t="e">
        <f>'Data In'!#REF!</f>
        <v>#REF!</v>
      </c>
      <c r="H380" s="3" t="e">
        <f t="shared" si="26"/>
        <v>#VALUE!</v>
      </c>
      <c r="I380" s="1" t="e">
        <f t="shared" si="27"/>
        <v>#REF!</v>
      </c>
      <c r="J380" s="1" t="e">
        <f>IF(Table15[[#This Row],[Rising Through Threshold]],Table15[[#This Row],[Start time]],J379)</f>
        <v>#REF!</v>
      </c>
      <c r="K380" s="1" t="e">
        <f>IF(AND(Table15[[#This Row],[Rising Through Threshold]],J379&gt;0),J380-J379,"")</f>
        <v>#REF!</v>
      </c>
    </row>
    <row r="381" spans="1:11" x14ac:dyDescent="0.45">
      <c r="A381" s="1" t="s">
        <v>397</v>
      </c>
      <c r="B381" s="1">
        <f t="shared" si="25"/>
        <v>6</v>
      </c>
      <c r="C381" s="1">
        <f t="shared" si="24"/>
        <v>12</v>
      </c>
      <c r="D381" s="1">
        <f t="shared" si="24"/>
        <v>17</v>
      </c>
      <c r="E381" s="1" t="e">
        <f t="shared" si="24"/>
        <v>#VALUE!</v>
      </c>
      <c r="F381" s="3" t="e">
        <f>'Data In'!#REF!</f>
        <v>#REF!</v>
      </c>
      <c r="G381" s="4" t="e">
        <f>'Data In'!#REF!</f>
        <v>#REF!</v>
      </c>
      <c r="H381" s="3" t="e">
        <f t="shared" si="26"/>
        <v>#VALUE!</v>
      </c>
      <c r="I381" s="1" t="e">
        <f t="shared" si="27"/>
        <v>#REF!</v>
      </c>
      <c r="J381" s="1" t="e">
        <f>IF(Table15[[#This Row],[Rising Through Threshold]],Table15[[#This Row],[Start time]],J380)</f>
        <v>#REF!</v>
      </c>
      <c r="K381" s="1" t="e">
        <f>IF(AND(Table15[[#This Row],[Rising Through Threshold]],J380&gt;0),J381-J380,"")</f>
        <v>#REF!</v>
      </c>
    </row>
    <row r="382" spans="1:11" x14ac:dyDescent="0.45">
      <c r="A382" s="1" t="s">
        <v>398</v>
      </c>
      <c r="B382" s="1">
        <f t="shared" si="25"/>
        <v>6</v>
      </c>
      <c r="C382" s="1">
        <f t="shared" si="24"/>
        <v>12</v>
      </c>
      <c r="D382" s="1">
        <f t="shared" si="24"/>
        <v>17</v>
      </c>
      <c r="E382" s="1" t="e">
        <f t="shared" si="24"/>
        <v>#VALUE!</v>
      </c>
      <c r="F382" s="3" t="e">
        <f>'Data In'!#REF!</f>
        <v>#REF!</v>
      </c>
      <c r="G382" s="4" t="e">
        <f>'Data In'!#REF!</f>
        <v>#REF!</v>
      </c>
      <c r="H382" s="3" t="e">
        <f t="shared" si="26"/>
        <v>#VALUE!</v>
      </c>
      <c r="I382" s="1" t="e">
        <f t="shared" si="27"/>
        <v>#REF!</v>
      </c>
      <c r="J382" s="1" t="e">
        <f>IF(Table15[[#This Row],[Rising Through Threshold]],Table15[[#This Row],[Start time]],J381)</f>
        <v>#REF!</v>
      </c>
      <c r="K382" s="1" t="e">
        <f>IF(AND(Table15[[#This Row],[Rising Through Threshold]],J381&gt;0),J382-J381,"")</f>
        <v>#REF!</v>
      </c>
    </row>
    <row r="383" spans="1:11" x14ac:dyDescent="0.45">
      <c r="A383" s="1" t="s">
        <v>399</v>
      </c>
      <c r="B383" s="1">
        <f t="shared" si="25"/>
        <v>6</v>
      </c>
      <c r="C383" s="1">
        <f t="shared" si="24"/>
        <v>12</v>
      </c>
      <c r="D383" s="1">
        <f t="shared" si="24"/>
        <v>17</v>
      </c>
      <c r="E383" s="1" t="e">
        <f t="shared" si="24"/>
        <v>#VALUE!</v>
      </c>
      <c r="F383" s="3" t="e">
        <f>'Data In'!#REF!</f>
        <v>#REF!</v>
      </c>
      <c r="G383" s="4" t="e">
        <f>'Data In'!#REF!</f>
        <v>#REF!</v>
      </c>
      <c r="H383" s="3" t="e">
        <f t="shared" si="26"/>
        <v>#VALUE!</v>
      </c>
      <c r="I383" s="1" t="e">
        <f t="shared" si="27"/>
        <v>#REF!</v>
      </c>
      <c r="J383" s="1" t="e">
        <f>IF(Table15[[#This Row],[Rising Through Threshold]],Table15[[#This Row],[Start time]],J382)</f>
        <v>#REF!</v>
      </c>
      <c r="K383" s="1" t="e">
        <f>IF(AND(Table15[[#This Row],[Rising Through Threshold]],J382&gt;0),J383-J382,"")</f>
        <v>#REF!</v>
      </c>
    </row>
    <row r="384" spans="1:11" x14ac:dyDescent="0.45">
      <c r="A384" s="1" t="s">
        <v>400</v>
      </c>
      <c r="B384" s="1">
        <f t="shared" si="25"/>
        <v>6</v>
      </c>
      <c r="C384" s="1">
        <f t="shared" ref="C384:E401" si="28">FIND(":",$A384,B384+1)</f>
        <v>12</v>
      </c>
      <c r="D384" s="1">
        <f t="shared" si="28"/>
        <v>17</v>
      </c>
      <c r="E384" s="1" t="e">
        <f t="shared" si="28"/>
        <v>#VALUE!</v>
      </c>
      <c r="F384" s="3" t="e">
        <f>'Data In'!#REF!</f>
        <v>#REF!</v>
      </c>
      <c r="G384" s="4" t="e">
        <f>'Data In'!#REF!</f>
        <v>#REF!</v>
      </c>
      <c r="H384" s="3" t="e">
        <f t="shared" si="26"/>
        <v>#VALUE!</v>
      </c>
      <c r="I384" s="1" t="e">
        <f t="shared" si="27"/>
        <v>#REF!</v>
      </c>
      <c r="J384" s="1" t="e">
        <f>IF(Table15[[#This Row],[Rising Through Threshold]],Table15[[#This Row],[Start time]],J383)</f>
        <v>#REF!</v>
      </c>
      <c r="K384" s="1" t="e">
        <f>IF(AND(Table15[[#This Row],[Rising Through Threshold]],J383&gt;0),J384-J383,"")</f>
        <v>#REF!</v>
      </c>
    </row>
    <row r="385" spans="1:11" x14ac:dyDescent="0.45">
      <c r="A385" s="1" t="s">
        <v>401</v>
      </c>
      <c r="B385" s="1">
        <f t="shared" si="25"/>
        <v>6</v>
      </c>
      <c r="C385" s="1">
        <f t="shared" si="28"/>
        <v>12</v>
      </c>
      <c r="D385" s="1">
        <f t="shared" si="28"/>
        <v>17</v>
      </c>
      <c r="E385" s="1" t="e">
        <f t="shared" si="28"/>
        <v>#VALUE!</v>
      </c>
      <c r="F385" s="3" t="e">
        <f>'Data In'!#REF!</f>
        <v>#REF!</v>
      </c>
      <c r="G385" s="4" t="e">
        <f>'Data In'!#REF!</f>
        <v>#REF!</v>
      </c>
      <c r="H385" s="3" t="e">
        <f t="shared" si="26"/>
        <v>#VALUE!</v>
      </c>
      <c r="I385" s="1" t="e">
        <f t="shared" si="27"/>
        <v>#REF!</v>
      </c>
      <c r="J385" s="1" t="e">
        <f>IF(Table15[[#This Row],[Rising Through Threshold]],Table15[[#This Row],[Start time]],J384)</f>
        <v>#REF!</v>
      </c>
      <c r="K385" s="1" t="e">
        <f>IF(AND(Table15[[#This Row],[Rising Through Threshold]],J384&gt;0),J385-J384,"")</f>
        <v>#REF!</v>
      </c>
    </row>
    <row r="386" spans="1:11" x14ac:dyDescent="0.45">
      <c r="A386" s="1" t="s">
        <v>402</v>
      </c>
      <c r="B386" s="1">
        <f t="shared" si="25"/>
        <v>6</v>
      </c>
      <c r="C386" s="1">
        <f t="shared" si="28"/>
        <v>12</v>
      </c>
      <c r="D386" s="1">
        <f t="shared" si="28"/>
        <v>17</v>
      </c>
      <c r="E386" s="1" t="e">
        <f t="shared" si="28"/>
        <v>#VALUE!</v>
      </c>
      <c r="F386" s="3" t="e">
        <f>'Data In'!#REF!</f>
        <v>#REF!</v>
      </c>
      <c r="G386" s="4" t="e">
        <f>'Data In'!#REF!</f>
        <v>#REF!</v>
      </c>
      <c r="H386" s="3" t="e">
        <f t="shared" si="26"/>
        <v>#VALUE!</v>
      </c>
      <c r="I386" s="1" t="e">
        <f t="shared" si="27"/>
        <v>#REF!</v>
      </c>
      <c r="J386" s="1" t="e">
        <f>IF(Table15[[#This Row],[Rising Through Threshold]],Table15[[#This Row],[Start time]],J385)</f>
        <v>#REF!</v>
      </c>
      <c r="K386" s="1" t="e">
        <f>IF(AND(Table15[[#This Row],[Rising Through Threshold]],J385&gt;0),J386-J385,"")</f>
        <v>#REF!</v>
      </c>
    </row>
    <row r="387" spans="1:11" x14ac:dyDescent="0.45">
      <c r="A387" s="1" t="s">
        <v>403</v>
      </c>
      <c r="B387" s="1">
        <f t="shared" ref="B387:B401" si="29">FIND(":",$A387,1)</f>
        <v>6</v>
      </c>
      <c r="C387" s="1">
        <f t="shared" si="28"/>
        <v>12</v>
      </c>
      <c r="D387" s="1">
        <f t="shared" si="28"/>
        <v>17</v>
      </c>
      <c r="E387" s="1" t="e">
        <f t="shared" si="28"/>
        <v>#VALUE!</v>
      </c>
      <c r="F387" s="3" t="e">
        <f>'Data In'!#REF!</f>
        <v>#REF!</v>
      </c>
      <c r="G387" s="4" t="e">
        <f>'Data In'!#REF!</f>
        <v>#REF!</v>
      </c>
      <c r="H387" s="3" t="e">
        <f t="shared" ref="H387:H401" si="30">_xlfn.NUMBERVALUE(MID($A387,E387+1,1000))</f>
        <v>#VALUE!</v>
      </c>
      <c r="I387" s="1" t="e">
        <f t="shared" si="27"/>
        <v>#REF!</v>
      </c>
      <c r="J387" s="1" t="e">
        <f>IF(Table15[[#This Row],[Rising Through Threshold]],Table15[[#This Row],[Start time]],J386)</f>
        <v>#REF!</v>
      </c>
      <c r="K387" s="1" t="e">
        <f>IF(AND(Table15[[#This Row],[Rising Through Threshold]],J386&gt;0),J387-J386,"")</f>
        <v>#REF!</v>
      </c>
    </row>
    <row r="388" spans="1:11" x14ac:dyDescent="0.45">
      <c r="A388" s="1" t="s">
        <v>404</v>
      </c>
      <c r="B388" s="1">
        <f t="shared" si="29"/>
        <v>6</v>
      </c>
      <c r="C388" s="1">
        <f t="shared" si="28"/>
        <v>12</v>
      </c>
      <c r="D388" s="1">
        <f t="shared" si="28"/>
        <v>17</v>
      </c>
      <c r="E388" s="1" t="e">
        <f t="shared" si="28"/>
        <v>#VALUE!</v>
      </c>
      <c r="F388" s="3" t="e">
        <f>'Data In'!#REF!</f>
        <v>#REF!</v>
      </c>
      <c r="G388" s="4" t="e">
        <f>'Data In'!#REF!</f>
        <v>#REF!</v>
      </c>
      <c r="H388" s="3" t="e">
        <f t="shared" si="30"/>
        <v>#VALUE!</v>
      </c>
      <c r="I388" s="1" t="e">
        <f t="shared" si="27"/>
        <v>#REF!</v>
      </c>
      <c r="J388" s="1" t="e">
        <f>IF(Table15[[#This Row],[Rising Through Threshold]],Table15[[#This Row],[Start time]],J387)</f>
        <v>#REF!</v>
      </c>
      <c r="K388" s="1" t="e">
        <f>IF(AND(Table15[[#This Row],[Rising Through Threshold]],J387&gt;0),J388-J387,"")</f>
        <v>#REF!</v>
      </c>
    </row>
    <row r="389" spans="1:11" x14ac:dyDescent="0.45">
      <c r="A389" s="1" t="s">
        <v>405</v>
      </c>
      <c r="B389" s="1">
        <f t="shared" si="29"/>
        <v>6</v>
      </c>
      <c r="C389" s="1">
        <f t="shared" si="28"/>
        <v>12</v>
      </c>
      <c r="D389" s="1">
        <f t="shared" si="28"/>
        <v>17</v>
      </c>
      <c r="E389" s="1" t="e">
        <f t="shared" si="28"/>
        <v>#VALUE!</v>
      </c>
      <c r="F389" s="3" t="e">
        <f>'Data In'!#REF!</f>
        <v>#REF!</v>
      </c>
      <c r="G389" s="4" t="e">
        <f>'Data In'!#REF!</f>
        <v>#REF!</v>
      </c>
      <c r="H389" s="3" t="e">
        <f t="shared" si="30"/>
        <v>#VALUE!</v>
      </c>
      <c r="I389" s="1" t="e">
        <f t="shared" si="27"/>
        <v>#REF!</v>
      </c>
      <c r="J389" s="1" t="e">
        <f>IF(Table15[[#This Row],[Rising Through Threshold]],Table15[[#This Row],[Start time]],J388)</f>
        <v>#REF!</v>
      </c>
      <c r="K389" s="1" t="e">
        <f>IF(AND(Table15[[#This Row],[Rising Through Threshold]],J388&gt;0),J389-J388,"")</f>
        <v>#REF!</v>
      </c>
    </row>
    <row r="390" spans="1:11" x14ac:dyDescent="0.45">
      <c r="A390" s="1" t="s">
        <v>406</v>
      </c>
      <c r="B390" s="1">
        <f t="shared" si="29"/>
        <v>6</v>
      </c>
      <c r="C390" s="1">
        <f t="shared" si="28"/>
        <v>12</v>
      </c>
      <c r="D390" s="1">
        <f t="shared" si="28"/>
        <v>17</v>
      </c>
      <c r="E390" s="1" t="e">
        <f t="shared" si="28"/>
        <v>#VALUE!</v>
      </c>
      <c r="F390" s="3" t="e">
        <f>'Data In'!#REF!</f>
        <v>#REF!</v>
      </c>
      <c r="G390" s="4" t="e">
        <f>'Data In'!#REF!</f>
        <v>#REF!</v>
      </c>
      <c r="H390" s="3" t="e">
        <f t="shared" si="30"/>
        <v>#VALUE!</v>
      </c>
      <c r="I390" s="1" t="e">
        <f t="shared" si="27"/>
        <v>#REF!</v>
      </c>
      <c r="J390" s="1" t="e">
        <f>IF(Table15[[#This Row],[Rising Through Threshold]],Table15[[#This Row],[Start time]],J389)</f>
        <v>#REF!</v>
      </c>
      <c r="K390" s="1" t="e">
        <f>IF(AND(Table15[[#This Row],[Rising Through Threshold]],J389&gt;0),J390-J389,"")</f>
        <v>#REF!</v>
      </c>
    </row>
    <row r="391" spans="1:11" x14ac:dyDescent="0.45">
      <c r="A391" s="1" t="s">
        <v>407</v>
      </c>
      <c r="B391" s="1">
        <f t="shared" si="29"/>
        <v>6</v>
      </c>
      <c r="C391" s="1">
        <f t="shared" si="28"/>
        <v>12</v>
      </c>
      <c r="D391" s="1">
        <f t="shared" si="28"/>
        <v>17</v>
      </c>
      <c r="E391" s="1" t="e">
        <f t="shared" si="28"/>
        <v>#VALUE!</v>
      </c>
      <c r="F391" s="3" t="e">
        <f>'Data In'!#REF!</f>
        <v>#REF!</v>
      </c>
      <c r="G391" s="4" t="e">
        <f>'Data In'!#REF!</f>
        <v>#REF!</v>
      </c>
      <c r="H391" s="3" t="e">
        <f t="shared" si="30"/>
        <v>#VALUE!</v>
      </c>
      <c r="I391" s="1" t="e">
        <f t="shared" si="27"/>
        <v>#REF!</v>
      </c>
      <c r="J391" s="1" t="e">
        <f>IF(Table15[[#This Row],[Rising Through Threshold]],Table15[[#This Row],[Start time]],J390)</f>
        <v>#REF!</v>
      </c>
      <c r="K391" s="1" t="e">
        <f>IF(AND(Table15[[#This Row],[Rising Through Threshold]],J390&gt;0),J391-J390,"")</f>
        <v>#REF!</v>
      </c>
    </row>
    <row r="392" spans="1:11" x14ac:dyDescent="0.45">
      <c r="A392" s="1" t="s">
        <v>408</v>
      </c>
      <c r="B392" s="1">
        <f t="shared" si="29"/>
        <v>6</v>
      </c>
      <c r="C392" s="1">
        <f t="shared" si="28"/>
        <v>12</v>
      </c>
      <c r="D392" s="1">
        <f t="shared" si="28"/>
        <v>17</v>
      </c>
      <c r="E392" s="1" t="e">
        <f t="shared" si="28"/>
        <v>#VALUE!</v>
      </c>
      <c r="F392" s="3" t="e">
        <f>'Data In'!#REF!</f>
        <v>#REF!</v>
      </c>
      <c r="G392" s="4" t="e">
        <f>'Data In'!#REF!</f>
        <v>#REF!</v>
      </c>
      <c r="H392" s="3" t="e">
        <f t="shared" si="30"/>
        <v>#VALUE!</v>
      </c>
      <c r="I392" s="1" t="e">
        <f t="shared" si="27"/>
        <v>#REF!</v>
      </c>
      <c r="J392" s="1" t="e">
        <f>IF(Table15[[#This Row],[Rising Through Threshold]],Table15[[#This Row],[Start time]],J391)</f>
        <v>#REF!</v>
      </c>
      <c r="K392" s="1" t="e">
        <f>IF(AND(Table15[[#This Row],[Rising Through Threshold]],J391&gt;0),J392-J391,"")</f>
        <v>#REF!</v>
      </c>
    </row>
    <row r="393" spans="1:11" x14ac:dyDescent="0.45">
      <c r="A393" s="1" t="s">
        <v>409</v>
      </c>
      <c r="B393" s="1">
        <f t="shared" si="29"/>
        <v>6</v>
      </c>
      <c r="C393" s="1">
        <f t="shared" si="28"/>
        <v>12</v>
      </c>
      <c r="D393" s="1">
        <f t="shared" si="28"/>
        <v>17</v>
      </c>
      <c r="E393" s="1" t="e">
        <f t="shared" si="28"/>
        <v>#VALUE!</v>
      </c>
      <c r="F393" s="3" t="e">
        <f>'Data In'!#REF!</f>
        <v>#REF!</v>
      </c>
      <c r="G393" s="4" t="e">
        <f>'Data In'!#REF!</f>
        <v>#REF!</v>
      </c>
      <c r="H393" s="3" t="e">
        <f t="shared" si="30"/>
        <v>#VALUE!</v>
      </c>
      <c r="I393" s="1" t="e">
        <f t="shared" si="27"/>
        <v>#REF!</v>
      </c>
      <c r="J393" s="1" t="e">
        <f>IF(Table15[[#This Row],[Rising Through Threshold]],Table15[[#This Row],[Start time]],J392)</f>
        <v>#REF!</v>
      </c>
      <c r="K393" s="1" t="e">
        <f>IF(AND(Table15[[#This Row],[Rising Through Threshold]],J392&gt;0),J393-J392,"")</f>
        <v>#REF!</v>
      </c>
    </row>
    <row r="394" spans="1:11" x14ac:dyDescent="0.45">
      <c r="A394" s="1" t="s">
        <v>410</v>
      </c>
      <c r="B394" s="1">
        <f t="shared" si="29"/>
        <v>6</v>
      </c>
      <c r="C394" s="1">
        <f t="shared" si="28"/>
        <v>12</v>
      </c>
      <c r="D394" s="1">
        <f t="shared" si="28"/>
        <v>17</v>
      </c>
      <c r="E394" s="1" t="e">
        <f t="shared" si="28"/>
        <v>#VALUE!</v>
      </c>
      <c r="F394" s="3" t="e">
        <f>'Data In'!#REF!</f>
        <v>#REF!</v>
      </c>
      <c r="G394" s="4" t="e">
        <f>'Data In'!#REF!</f>
        <v>#REF!</v>
      </c>
      <c r="H394" s="3" t="e">
        <f t="shared" si="30"/>
        <v>#VALUE!</v>
      </c>
      <c r="I394" s="1" t="e">
        <f t="shared" si="27"/>
        <v>#REF!</v>
      </c>
      <c r="J394" s="1" t="e">
        <f>IF(Table15[[#This Row],[Rising Through Threshold]],Table15[[#This Row],[Start time]],J393)</f>
        <v>#REF!</v>
      </c>
      <c r="K394" s="1" t="e">
        <f>IF(AND(Table15[[#This Row],[Rising Through Threshold]],J393&gt;0),J394-J393,"")</f>
        <v>#REF!</v>
      </c>
    </row>
    <row r="395" spans="1:11" x14ac:dyDescent="0.45">
      <c r="A395" s="1" t="s">
        <v>411</v>
      </c>
      <c r="B395" s="1">
        <f t="shared" si="29"/>
        <v>6</v>
      </c>
      <c r="C395" s="1">
        <f t="shared" si="28"/>
        <v>12</v>
      </c>
      <c r="D395" s="1">
        <f t="shared" si="28"/>
        <v>17</v>
      </c>
      <c r="E395" s="1" t="e">
        <f t="shared" si="28"/>
        <v>#VALUE!</v>
      </c>
      <c r="F395" s="3" t="e">
        <f>'Data In'!#REF!</f>
        <v>#REF!</v>
      </c>
      <c r="G395" s="4" t="e">
        <f>'Data In'!#REF!</f>
        <v>#REF!</v>
      </c>
      <c r="H395" s="3" t="e">
        <f t="shared" si="30"/>
        <v>#VALUE!</v>
      </c>
      <c r="I395" s="1" t="e">
        <f t="shared" si="27"/>
        <v>#REF!</v>
      </c>
      <c r="J395" s="1" t="e">
        <f>IF(Table15[[#This Row],[Rising Through Threshold]],Table15[[#This Row],[Start time]],J394)</f>
        <v>#REF!</v>
      </c>
      <c r="K395" s="1" t="e">
        <f>IF(AND(Table15[[#This Row],[Rising Through Threshold]],J394&gt;0),J395-J394,"")</f>
        <v>#REF!</v>
      </c>
    </row>
    <row r="396" spans="1:11" x14ac:dyDescent="0.45">
      <c r="A396" s="1" t="s">
        <v>412</v>
      </c>
      <c r="B396" s="1">
        <f t="shared" si="29"/>
        <v>6</v>
      </c>
      <c r="C396" s="1">
        <f t="shared" si="28"/>
        <v>12</v>
      </c>
      <c r="D396" s="1">
        <f t="shared" si="28"/>
        <v>17</v>
      </c>
      <c r="E396" s="1" t="e">
        <f t="shared" si="28"/>
        <v>#VALUE!</v>
      </c>
      <c r="F396" s="3" t="e">
        <f>'Data In'!#REF!</f>
        <v>#REF!</v>
      </c>
      <c r="G396" s="4" t="e">
        <f>'Data In'!#REF!</f>
        <v>#REF!</v>
      </c>
      <c r="H396" s="3" t="e">
        <f t="shared" si="30"/>
        <v>#VALUE!</v>
      </c>
      <c r="I396" s="1" t="e">
        <f t="shared" si="27"/>
        <v>#REF!</v>
      </c>
      <c r="J396" s="1" t="e">
        <f>IF(Table15[[#This Row],[Rising Through Threshold]],Table15[[#This Row],[Start time]],J395)</f>
        <v>#REF!</v>
      </c>
      <c r="K396" s="1" t="e">
        <f>IF(AND(Table15[[#This Row],[Rising Through Threshold]],J395&gt;0),J396-J395,"")</f>
        <v>#REF!</v>
      </c>
    </row>
    <row r="397" spans="1:11" x14ac:dyDescent="0.45">
      <c r="A397" s="1" t="s">
        <v>413</v>
      </c>
      <c r="B397" s="1">
        <f t="shared" si="29"/>
        <v>6</v>
      </c>
      <c r="C397" s="1">
        <f t="shared" si="28"/>
        <v>12</v>
      </c>
      <c r="D397" s="1">
        <f t="shared" si="28"/>
        <v>17</v>
      </c>
      <c r="E397" s="1" t="e">
        <f t="shared" si="28"/>
        <v>#VALUE!</v>
      </c>
      <c r="F397" s="3" t="e">
        <f>'Data In'!#REF!</f>
        <v>#REF!</v>
      </c>
      <c r="G397" s="4" t="e">
        <f>'Data In'!#REF!</f>
        <v>#REF!</v>
      </c>
      <c r="H397" s="3" t="e">
        <f t="shared" si="30"/>
        <v>#VALUE!</v>
      </c>
      <c r="I397" s="1" t="e">
        <f t="shared" si="27"/>
        <v>#REF!</v>
      </c>
      <c r="J397" s="1" t="e">
        <f>IF(Table15[[#This Row],[Rising Through Threshold]],Table15[[#This Row],[Start time]],J396)</f>
        <v>#REF!</v>
      </c>
      <c r="K397" s="1" t="e">
        <f>IF(AND(Table15[[#This Row],[Rising Through Threshold]],J396&gt;0),J397-J396,"")</f>
        <v>#REF!</v>
      </c>
    </row>
    <row r="398" spans="1:11" x14ac:dyDescent="0.45">
      <c r="A398" s="1" t="s">
        <v>414</v>
      </c>
      <c r="B398" s="1">
        <f t="shared" si="29"/>
        <v>6</v>
      </c>
      <c r="C398" s="1">
        <f t="shared" si="28"/>
        <v>12</v>
      </c>
      <c r="D398" s="1">
        <f t="shared" si="28"/>
        <v>17</v>
      </c>
      <c r="E398" s="1" t="e">
        <f t="shared" si="28"/>
        <v>#VALUE!</v>
      </c>
      <c r="F398" s="3" t="e">
        <f>'Data In'!#REF!</f>
        <v>#REF!</v>
      </c>
      <c r="G398" s="4" t="e">
        <f>'Data In'!#REF!</f>
        <v>#REF!</v>
      </c>
      <c r="H398" s="3" t="e">
        <f t="shared" si="30"/>
        <v>#VALUE!</v>
      </c>
      <c r="I398" s="1" t="e">
        <f t="shared" si="27"/>
        <v>#REF!</v>
      </c>
      <c r="J398" s="1" t="e">
        <f>IF(Table15[[#This Row],[Rising Through Threshold]],Table15[[#This Row],[Start time]],J397)</f>
        <v>#REF!</v>
      </c>
      <c r="K398" s="1" t="e">
        <f>IF(AND(Table15[[#This Row],[Rising Through Threshold]],J397&gt;0),J398-J397,"")</f>
        <v>#REF!</v>
      </c>
    </row>
    <row r="399" spans="1:11" x14ac:dyDescent="0.45">
      <c r="A399" s="1" t="s">
        <v>415</v>
      </c>
      <c r="B399" s="1">
        <f t="shared" si="29"/>
        <v>6</v>
      </c>
      <c r="C399" s="1">
        <f t="shared" si="28"/>
        <v>12</v>
      </c>
      <c r="D399" s="1">
        <f t="shared" si="28"/>
        <v>17</v>
      </c>
      <c r="E399" s="1" t="e">
        <f t="shared" si="28"/>
        <v>#VALUE!</v>
      </c>
      <c r="F399" s="3" t="e">
        <f>'Data In'!#REF!</f>
        <v>#REF!</v>
      </c>
      <c r="G399" s="4" t="e">
        <f>'Data In'!#REF!</f>
        <v>#REF!</v>
      </c>
      <c r="H399" s="3" t="e">
        <f t="shared" si="30"/>
        <v>#VALUE!</v>
      </c>
      <c r="I399" s="1" t="e">
        <f t="shared" si="27"/>
        <v>#REF!</v>
      </c>
      <c r="J399" s="1" t="e">
        <f>IF(Table15[[#This Row],[Rising Through Threshold]],Table15[[#This Row],[Start time]],J398)</f>
        <v>#REF!</v>
      </c>
      <c r="K399" s="1" t="e">
        <f>IF(AND(Table15[[#This Row],[Rising Through Threshold]],J398&gt;0),J399-J398,"")</f>
        <v>#REF!</v>
      </c>
    </row>
    <row r="400" spans="1:11" x14ac:dyDescent="0.45">
      <c r="A400" s="1" t="s">
        <v>416</v>
      </c>
      <c r="B400" s="1">
        <f t="shared" si="29"/>
        <v>6</v>
      </c>
      <c r="C400" s="1">
        <f t="shared" si="28"/>
        <v>12</v>
      </c>
      <c r="D400" s="1">
        <f t="shared" si="28"/>
        <v>17</v>
      </c>
      <c r="E400" s="1" t="e">
        <f t="shared" si="28"/>
        <v>#VALUE!</v>
      </c>
      <c r="F400" s="3" t="e">
        <f>'Data In'!#REF!</f>
        <v>#REF!</v>
      </c>
      <c r="G400" s="4" t="e">
        <f>'Data In'!#REF!</f>
        <v>#REF!</v>
      </c>
      <c r="H400" s="3" t="e">
        <f t="shared" si="30"/>
        <v>#VALUE!</v>
      </c>
      <c r="I400" s="1" t="e">
        <f t="shared" si="27"/>
        <v>#REF!</v>
      </c>
      <c r="J400" s="1" t="e">
        <f>IF(Table15[[#This Row],[Rising Through Threshold]],Table15[[#This Row],[Start time]],J399)</f>
        <v>#REF!</v>
      </c>
      <c r="K400" s="1" t="e">
        <f>IF(AND(Table15[[#This Row],[Rising Through Threshold]],J399&gt;0),J400-J399,"")</f>
        <v>#REF!</v>
      </c>
    </row>
    <row r="401" spans="1:11" x14ac:dyDescent="0.45">
      <c r="A401" s="1" t="s">
        <v>417</v>
      </c>
      <c r="B401" s="1">
        <f t="shared" si="29"/>
        <v>6</v>
      </c>
      <c r="C401" s="1">
        <f t="shared" si="28"/>
        <v>12</v>
      </c>
      <c r="D401" s="1">
        <f t="shared" si="28"/>
        <v>17</v>
      </c>
      <c r="E401" s="1" t="e">
        <f t="shared" si="28"/>
        <v>#VALUE!</v>
      </c>
      <c r="F401" s="3" t="e">
        <f>'Data In'!#REF!</f>
        <v>#REF!</v>
      </c>
      <c r="G401" s="4" t="e">
        <f>'Data In'!#REF!</f>
        <v>#REF!</v>
      </c>
      <c r="H401" s="3" t="e">
        <f t="shared" si="30"/>
        <v>#VALUE!</v>
      </c>
      <c r="I401" s="1" t="e">
        <f t="shared" si="27"/>
        <v>#REF!</v>
      </c>
      <c r="J401" s="1" t="e">
        <f>IF(Table15[[#This Row],[Rising Through Threshold]],Table15[[#This Row],[Start time]],J400)</f>
        <v>#REF!</v>
      </c>
      <c r="K401" s="1" t="e">
        <f>IF(AND(Table15[[#This Row],[Rising Through Threshold]],J400&gt;0),J401-J400,"")</f>
        <v>#REF!</v>
      </c>
    </row>
    <row r="402" spans="1:11" x14ac:dyDescent="0.45">
      <c r="A402" s="1" t="s">
        <v>15</v>
      </c>
      <c r="G402" s="4" t="e">
        <f>SUBTOTAL(101,Table15[Voltage])</f>
        <v>#REF!</v>
      </c>
      <c r="K402" s="1" t="e">
        <f>SUBTOTAL(101,Table15[Period])</f>
        <v>#REF!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E5EA-94A5-47F9-BE0F-EC9E8D05864E}">
  <dimension ref="A1:Z402"/>
  <sheetViews>
    <sheetView showGridLines="0" zoomScale="90" zoomScaleNormal="90" workbookViewId="0">
      <selection activeCell="A4" sqref="A4"/>
    </sheetView>
  </sheetViews>
  <sheetFormatPr defaultRowHeight="14.25" x14ac:dyDescent="0.45"/>
  <cols>
    <col min="1" max="1" width="23.86328125" style="1" bestFit="1" customWidth="1"/>
    <col min="2" max="5" width="9.3984375" style="1" hidden="1" customWidth="1"/>
    <col min="6" max="6" width="9.86328125" style="1" bestFit="1" customWidth="1"/>
    <col min="7" max="7" width="8.3984375" style="1" bestFit="1" customWidth="1"/>
    <col min="8" max="8" width="9.73046875" style="1" bestFit="1" customWidth="1"/>
    <col min="9" max="10" width="10.86328125" style="1" hidden="1" customWidth="1"/>
    <col min="11" max="11" width="7.73046875" style="1" bestFit="1" customWidth="1"/>
    <col min="14" max="14" width="12.265625" bestFit="1" customWidth="1"/>
    <col min="18" max="18" width="10.265625" bestFit="1" customWidth="1"/>
    <col min="19" max="19" width="12.3984375" bestFit="1" customWidth="1"/>
    <col min="29" max="29" width="12.1328125" bestFit="1" customWidth="1"/>
  </cols>
  <sheetData>
    <row r="1" spans="1:26" ht="22.15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2" t="s">
        <v>12</v>
      </c>
      <c r="J1" s="2" t="s">
        <v>13</v>
      </c>
      <c r="K1" s="2" t="s">
        <v>14</v>
      </c>
    </row>
    <row r="2" spans="1:26" x14ac:dyDescent="0.45">
      <c r="A2" s="1" t="s">
        <v>488</v>
      </c>
      <c r="B2" s="1">
        <f>FIND(":",$A2,1)</f>
        <v>6</v>
      </c>
      <c r="C2" s="1">
        <f>FIND(":",$A2,B2+1)</f>
        <v>10</v>
      </c>
      <c r="D2" s="1">
        <f>FIND(":",$A2,C2+1)</f>
        <v>15</v>
      </c>
      <c r="E2" s="1">
        <f>FIND(":",$A2,D2+1)</f>
        <v>17</v>
      </c>
      <c r="F2" s="3">
        <f>_xlfn.NUMBERVALUE(MID($A2,B2+1,C2-B2-1))</f>
        <v>0</v>
      </c>
      <c r="G2" s="4">
        <f>_xlfn.NUMBERVALUE(MID($A2,C2+1,D2-C2-1))</f>
        <v>0.49</v>
      </c>
      <c r="H2" s="3" t="e">
        <f>_xlfn.NUMBERVALUE(MID($A2,E2+1,1000))</f>
        <v>#VALUE!</v>
      </c>
      <c r="I2" s="1" t="b">
        <f t="shared" ref="I2:I31" si="0">AND(G1&lt;Threshold,G2&gt;Threshold)</f>
        <v>0</v>
      </c>
      <c r="K2" s="1" t="str">
        <f>IF(AND(Table1[[#This Row],[Rising Through Threshold]],J1&gt;0),J2-J1,"")</f>
        <v/>
      </c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x14ac:dyDescent="0.45">
      <c r="A3" s="1" t="s">
        <v>489</v>
      </c>
      <c r="B3" s="1">
        <f t="shared" ref="B3:B31" si="1">FIND(":",$A3,1)</f>
        <v>6</v>
      </c>
      <c r="C3" s="1">
        <f t="shared" ref="C3:C31" si="2">FIND(":",$A3,B3+1)</f>
        <v>12</v>
      </c>
      <c r="D3" s="1">
        <f t="shared" ref="D3:D31" si="3">FIND(":",$A3,C3+1)</f>
        <v>17</v>
      </c>
      <c r="E3" s="1">
        <f t="shared" ref="E3:E31" si="4">FIND(":",$A3,D3+1)</f>
        <v>19</v>
      </c>
      <c r="F3" s="3">
        <f t="shared" ref="F3:F31" si="5">_xlfn.NUMBERVALUE(MID($A3,B3+1,C3-B3-1))</f>
        <v>4.25</v>
      </c>
      <c r="G3" s="4">
        <f t="shared" ref="G3:G31" si="6">_xlfn.NUMBERVALUE(MID($A3,C3+1,D3-C3-1))</f>
        <v>1.24</v>
      </c>
      <c r="H3" s="3" t="e">
        <f t="shared" ref="H3:H31" si="7">_xlfn.NUMBERVALUE(MID($A3,E3+1,1000))</f>
        <v>#VALUE!</v>
      </c>
      <c r="I3" s="1" t="b">
        <f t="shared" si="0"/>
        <v>0</v>
      </c>
      <c r="J3" s="1">
        <f>IF(Table1[[#This Row],[Rising Through Threshold]],Table1[[#This Row],[Start time]],J2)</f>
        <v>0</v>
      </c>
      <c r="K3" s="1" t="str">
        <f>IF(AND(Table1[[#This Row],[Rising Through Threshold]],J2&gt;0),J3-J2,"")</f>
        <v/>
      </c>
      <c r="M3" s="8"/>
      <c r="Z3" s="9"/>
    </row>
    <row r="4" spans="1:26" x14ac:dyDescent="0.45">
      <c r="A4" s="1" t="s">
        <v>490</v>
      </c>
      <c r="B4" s="1">
        <f t="shared" si="1"/>
        <v>6</v>
      </c>
      <c r="C4" s="1">
        <f t="shared" si="2"/>
        <v>12</v>
      </c>
      <c r="D4" s="1">
        <f t="shared" si="3"/>
        <v>17</v>
      </c>
      <c r="E4" s="1">
        <f t="shared" si="4"/>
        <v>19</v>
      </c>
      <c r="F4" s="3">
        <f t="shared" si="5"/>
        <v>8.5</v>
      </c>
      <c r="G4" s="4">
        <f t="shared" si="6"/>
        <v>2.78</v>
      </c>
      <c r="H4" s="3" t="e">
        <f t="shared" si="7"/>
        <v>#VALUE!</v>
      </c>
      <c r="I4" s="1" t="b">
        <f t="shared" si="0"/>
        <v>1</v>
      </c>
      <c r="J4" s="1">
        <f>IF(Table1[[#This Row],[Rising Through Threshold]],Table1[[#This Row],[Start time]],J3)</f>
        <v>8.5</v>
      </c>
      <c r="K4" s="1" t="str">
        <f>IF(AND(Table1[[#This Row],[Rising Through Threshold]],J3&gt;0),J4-J3,"")</f>
        <v/>
      </c>
      <c r="M4" s="8"/>
      <c r="Z4" s="9"/>
    </row>
    <row r="5" spans="1:26" x14ac:dyDescent="0.45">
      <c r="A5" s="1" t="s">
        <v>491</v>
      </c>
      <c r="B5" s="1">
        <f t="shared" si="1"/>
        <v>6</v>
      </c>
      <c r="C5" s="1">
        <f t="shared" si="2"/>
        <v>13</v>
      </c>
      <c r="D5" s="1">
        <f t="shared" si="3"/>
        <v>18</v>
      </c>
      <c r="E5" s="1">
        <f t="shared" si="4"/>
        <v>20</v>
      </c>
      <c r="F5" s="3">
        <f t="shared" si="5"/>
        <v>12.75</v>
      </c>
      <c r="G5" s="4">
        <f t="shared" si="6"/>
        <v>3.31</v>
      </c>
      <c r="H5" s="3" t="e">
        <f t="shared" si="7"/>
        <v>#VALUE!</v>
      </c>
      <c r="I5" s="1" t="b">
        <f t="shared" si="0"/>
        <v>0</v>
      </c>
      <c r="J5" s="1">
        <f>IF(Table1[[#This Row],[Rising Through Threshold]],Table1[[#This Row],[Start time]],J4)</f>
        <v>8.5</v>
      </c>
      <c r="K5" s="1" t="str">
        <f>IF(AND(Table1[[#This Row],[Rising Through Threshold]],J4&gt;0),J5-J4,"")</f>
        <v/>
      </c>
      <c r="M5" s="8"/>
      <c r="Z5" s="9"/>
    </row>
    <row r="6" spans="1:26" x14ac:dyDescent="0.45">
      <c r="A6" s="1" t="s">
        <v>492</v>
      </c>
      <c r="B6" s="1">
        <f t="shared" si="1"/>
        <v>6</v>
      </c>
      <c r="C6" s="1">
        <f t="shared" si="2"/>
        <v>11</v>
      </c>
      <c r="D6" s="1">
        <f t="shared" si="3"/>
        <v>16</v>
      </c>
      <c r="E6" s="1">
        <f t="shared" si="4"/>
        <v>18</v>
      </c>
      <c r="F6" s="3">
        <f t="shared" si="5"/>
        <v>17</v>
      </c>
      <c r="G6" s="4">
        <f t="shared" si="6"/>
        <v>3.82</v>
      </c>
      <c r="H6" s="3" t="e">
        <f t="shared" si="7"/>
        <v>#VALUE!</v>
      </c>
      <c r="I6" s="1" t="b">
        <f t="shared" si="0"/>
        <v>0</v>
      </c>
      <c r="J6" s="1">
        <f>IF(Table1[[#This Row],[Rising Through Threshold]],Table1[[#This Row],[Start time]],J5)</f>
        <v>8.5</v>
      </c>
      <c r="K6" s="1" t="str">
        <f>IF(AND(Table1[[#This Row],[Rising Through Threshold]],J5&gt;0),J6-J5,"")</f>
        <v/>
      </c>
      <c r="M6" s="8"/>
      <c r="Z6" s="9"/>
    </row>
    <row r="7" spans="1:26" x14ac:dyDescent="0.45">
      <c r="A7" s="1" t="s">
        <v>493</v>
      </c>
      <c r="B7" s="1">
        <f t="shared" si="1"/>
        <v>6</v>
      </c>
      <c r="C7" s="1">
        <f t="shared" si="2"/>
        <v>13</v>
      </c>
      <c r="D7" s="1">
        <f t="shared" si="3"/>
        <v>18</v>
      </c>
      <c r="E7" s="1">
        <f t="shared" si="4"/>
        <v>20</v>
      </c>
      <c r="F7" s="3">
        <f t="shared" si="5"/>
        <v>21.25</v>
      </c>
      <c r="G7" s="4">
        <f t="shared" si="6"/>
        <v>5</v>
      </c>
      <c r="H7" s="3" t="e">
        <f t="shared" si="7"/>
        <v>#VALUE!</v>
      </c>
      <c r="I7" s="1" t="b">
        <f t="shared" si="0"/>
        <v>0</v>
      </c>
      <c r="J7" s="1">
        <f>IF(Table1[[#This Row],[Rising Through Threshold]],Table1[[#This Row],[Start time]],J6)</f>
        <v>8.5</v>
      </c>
      <c r="K7" s="1" t="str">
        <f>IF(AND(Table1[[#This Row],[Rising Through Threshold]],J6&gt;0),J7-J6,"")</f>
        <v/>
      </c>
      <c r="M7" s="8"/>
      <c r="Z7" s="9"/>
    </row>
    <row r="8" spans="1:26" x14ac:dyDescent="0.45">
      <c r="A8" s="1" t="s">
        <v>494</v>
      </c>
      <c r="B8" s="1">
        <f t="shared" si="1"/>
        <v>6</v>
      </c>
      <c r="C8" s="1">
        <f t="shared" si="2"/>
        <v>13</v>
      </c>
      <c r="D8" s="1">
        <f t="shared" si="3"/>
        <v>18</v>
      </c>
      <c r="E8" s="1">
        <f t="shared" si="4"/>
        <v>20</v>
      </c>
      <c r="F8" s="3">
        <f t="shared" si="5"/>
        <v>25.5</v>
      </c>
      <c r="G8" s="4">
        <f t="shared" si="6"/>
        <v>4.76</v>
      </c>
      <c r="H8" s="3" t="e">
        <f t="shared" si="7"/>
        <v>#VALUE!</v>
      </c>
      <c r="I8" s="1" t="b">
        <f t="shared" si="0"/>
        <v>0</v>
      </c>
      <c r="J8" s="1">
        <f>IF(Table1[[#This Row],[Rising Through Threshold]],Table1[[#This Row],[Start time]],J7)</f>
        <v>8.5</v>
      </c>
      <c r="K8" s="1" t="str">
        <f>IF(AND(Table1[[#This Row],[Rising Through Threshold]],J7&gt;0),J8-J7,"")</f>
        <v/>
      </c>
      <c r="M8" s="8"/>
      <c r="Z8" s="9"/>
    </row>
    <row r="9" spans="1:26" x14ac:dyDescent="0.45">
      <c r="A9" s="1" t="s">
        <v>495</v>
      </c>
      <c r="B9" s="1">
        <f t="shared" si="1"/>
        <v>6</v>
      </c>
      <c r="C9" s="1">
        <f t="shared" si="2"/>
        <v>13</v>
      </c>
      <c r="D9" s="1">
        <f t="shared" si="3"/>
        <v>18</v>
      </c>
      <c r="E9" s="1">
        <f t="shared" si="4"/>
        <v>20</v>
      </c>
      <c r="F9" s="3">
        <f t="shared" si="5"/>
        <v>29.75</v>
      </c>
      <c r="G9" s="4">
        <f t="shared" si="6"/>
        <v>3.82</v>
      </c>
      <c r="H9" s="3" t="e">
        <f t="shared" si="7"/>
        <v>#VALUE!</v>
      </c>
      <c r="I9" s="1" t="b">
        <f t="shared" si="0"/>
        <v>0</v>
      </c>
      <c r="J9" s="1">
        <f>IF(Table1[[#This Row],[Rising Through Threshold]],Table1[[#This Row],[Start time]],J8)</f>
        <v>8.5</v>
      </c>
      <c r="K9" s="1" t="str">
        <f>IF(AND(Table1[[#This Row],[Rising Through Threshold]],J8&gt;0),J9-J8,"")</f>
        <v/>
      </c>
      <c r="M9" s="8"/>
      <c r="Z9" s="9"/>
    </row>
    <row r="10" spans="1:26" x14ac:dyDescent="0.45">
      <c r="A10" s="1" t="s">
        <v>496</v>
      </c>
      <c r="B10" s="1">
        <f t="shared" si="1"/>
        <v>6</v>
      </c>
      <c r="C10" s="1">
        <f t="shared" si="2"/>
        <v>11</v>
      </c>
      <c r="D10" s="1">
        <f t="shared" si="3"/>
        <v>16</v>
      </c>
      <c r="E10" s="1">
        <f t="shared" si="4"/>
        <v>18</v>
      </c>
      <c r="F10" s="3">
        <f t="shared" si="5"/>
        <v>34</v>
      </c>
      <c r="G10" s="4">
        <f t="shared" si="6"/>
        <v>2.88</v>
      </c>
      <c r="H10" s="3" t="e">
        <f t="shared" si="7"/>
        <v>#VALUE!</v>
      </c>
      <c r="I10" s="1" t="b">
        <f t="shared" si="0"/>
        <v>0</v>
      </c>
      <c r="J10" s="1">
        <f>IF(Table1[[#This Row],[Rising Through Threshold]],Table1[[#This Row],[Start time]],J9)</f>
        <v>8.5</v>
      </c>
      <c r="K10" s="1" t="str">
        <f>IF(AND(Table1[[#This Row],[Rising Through Threshold]],J9&gt;0),J10-J9,"")</f>
        <v/>
      </c>
      <c r="M10" s="8"/>
      <c r="Z10" s="9"/>
    </row>
    <row r="11" spans="1:26" x14ac:dyDescent="0.45">
      <c r="A11" s="1" t="s">
        <v>497</v>
      </c>
      <c r="B11" s="1">
        <f t="shared" si="1"/>
        <v>6</v>
      </c>
      <c r="C11" s="1">
        <f t="shared" si="2"/>
        <v>13</v>
      </c>
      <c r="D11" s="1">
        <f t="shared" si="3"/>
        <v>18</v>
      </c>
      <c r="E11" s="1">
        <f t="shared" si="4"/>
        <v>20</v>
      </c>
      <c r="F11" s="3">
        <f t="shared" si="5"/>
        <v>38.25</v>
      </c>
      <c r="G11" s="4">
        <f t="shared" si="6"/>
        <v>1</v>
      </c>
      <c r="H11" s="3" t="e">
        <f t="shared" si="7"/>
        <v>#VALUE!</v>
      </c>
      <c r="I11" s="1" t="b">
        <f t="shared" si="0"/>
        <v>0</v>
      </c>
      <c r="J11" s="1">
        <f>IF(Table1[[#This Row],[Rising Through Threshold]],Table1[[#This Row],[Start time]],J10)</f>
        <v>8.5</v>
      </c>
      <c r="K11" s="1" t="str">
        <f>IF(AND(Table1[[#This Row],[Rising Through Threshold]],J10&gt;0),J11-J10,"")</f>
        <v/>
      </c>
      <c r="M11" s="8"/>
      <c r="Z11" s="9"/>
    </row>
    <row r="12" spans="1:26" x14ac:dyDescent="0.45">
      <c r="A12" s="1" t="s">
        <v>498</v>
      </c>
      <c r="B12" s="1">
        <f t="shared" si="1"/>
        <v>6</v>
      </c>
      <c r="C12" s="1">
        <f t="shared" si="2"/>
        <v>13</v>
      </c>
      <c r="D12" s="1">
        <f t="shared" si="3"/>
        <v>18</v>
      </c>
      <c r="E12" s="1">
        <f t="shared" si="4"/>
        <v>20</v>
      </c>
      <c r="F12" s="3">
        <f t="shared" si="5"/>
        <v>42.5</v>
      </c>
      <c r="G12" s="4">
        <f t="shared" si="6"/>
        <v>0.14000000000000001</v>
      </c>
      <c r="H12" s="3" t="e">
        <f t="shared" si="7"/>
        <v>#VALUE!</v>
      </c>
      <c r="I12" s="1" t="b">
        <f t="shared" si="0"/>
        <v>0</v>
      </c>
      <c r="J12" s="1">
        <f>IF(Table1[[#This Row],[Rising Through Threshold]],Table1[[#This Row],[Start time]],J11)</f>
        <v>8.5</v>
      </c>
      <c r="K12" s="1" t="str">
        <f>IF(AND(Table1[[#This Row],[Rising Through Threshold]],J11&gt;0),J12-J11,"")</f>
        <v/>
      </c>
      <c r="M12" s="8"/>
      <c r="Z12" s="9"/>
    </row>
    <row r="13" spans="1:26" x14ac:dyDescent="0.45">
      <c r="A13" s="1" t="s">
        <v>499</v>
      </c>
      <c r="B13" s="1">
        <f t="shared" si="1"/>
        <v>6</v>
      </c>
      <c r="C13" s="1">
        <f t="shared" si="2"/>
        <v>13</v>
      </c>
      <c r="D13" s="1">
        <f t="shared" si="3"/>
        <v>18</v>
      </c>
      <c r="E13" s="1">
        <f t="shared" si="4"/>
        <v>20</v>
      </c>
      <c r="F13" s="3">
        <f t="shared" si="5"/>
        <v>46.75</v>
      </c>
      <c r="G13" s="4">
        <f t="shared" si="6"/>
        <v>0</v>
      </c>
      <c r="H13" s="3" t="e">
        <f t="shared" si="7"/>
        <v>#VALUE!</v>
      </c>
      <c r="I13" s="1" t="b">
        <f t="shared" si="0"/>
        <v>0</v>
      </c>
      <c r="J13" s="1">
        <f>IF(Table1[[#This Row],[Rising Through Threshold]],Table1[[#This Row],[Start time]],J12)</f>
        <v>8.5</v>
      </c>
      <c r="K13" s="1" t="str">
        <f>IF(AND(Table1[[#This Row],[Rising Through Threshold]],J12&gt;0),J13-J12,"")</f>
        <v/>
      </c>
      <c r="M13" s="8"/>
      <c r="Z13" s="9"/>
    </row>
    <row r="14" spans="1:26" x14ac:dyDescent="0.45">
      <c r="A14" s="1" t="s">
        <v>500</v>
      </c>
      <c r="B14" s="1">
        <f t="shared" si="1"/>
        <v>6</v>
      </c>
      <c r="C14" s="1">
        <f t="shared" si="2"/>
        <v>11</v>
      </c>
      <c r="D14" s="1">
        <f t="shared" si="3"/>
        <v>16</v>
      </c>
      <c r="E14" s="1">
        <f t="shared" si="4"/>
        <v>18</v>
      </c>
      <c r="F14" s="3">
        <f t="shared" si="5"/>
        <v>51</v>
      </c>
      <c r="G14" s="4">
        <f t="shared" si="6"/>
        <v>0.55000000000000004</v>
      </c>
      <c r="H14" s="3" t="e">
        <f t="shared" si="7"/>
        <v>#VALUE!</v>
      </c>
      <c r="I14" s="1" t="b">
        <f t="shared" si="0"/>
        <v>0</v>
      </c>
      <c r="J14" s="1">
        <f>IF(Table1[[#This Row],[Rising Through Threshold]],Table1[[#This Row],[Start time]],J13)</f>
        <v>8.5</v>
      </c>
      <c r="K14" s="1" t="str">
        <f>IF(AND(Table1[[#This Row],[Rising Through Threshold]],J13&gt;0),J14-J13,"")</f>
        <v/>
      </c>
      <c r="M14" s="8"/>
      <c r="Z14" s="9"/>
    </row>
    <row r="15" spans="1:26" x14ac:dyDescent="0.45">
      <c r="A15" s="1" t="s">
        <v>501</v>
      </c>
      <c r="B15" s="1">
        <f t="shared" si="1"/>
        <v>6</v>
      </c>
      <c r="C15" s="1">
        <f t="shared" si="2"/>
        <v>13</v>
      </c>
      <c r="D15" s="1">
        <f t="shared" si="3"/>
        <v>18</v>
      </c>
      <c r="E15" s="1">
        <f t="shared" si="4"/>
        <v>20</v>
      </c>
      <c r="F15" s="3">
        <f t="shared" si="5"/>
        <v>55.25</v>
      </c>
      <c r="G15" s="4">
        <f t="shared" si="6"/>
        <v>1.24</v>
      </c>
      <c r="H15" s="3" t="e">
        <f t="shared" si="7"/>
        <v>#VALUE!</v>
      </c>
      <c r="I15" s="1" t="b">
        <f t="shared" si="0"/>
        <v>0</v>
      </c>
      <c r="J15" s="1">
        <f>IF(Table1[[#This Row],[Rising Through Threshold]],Table1[[#This Row],[Start time]],J14)</f>
        <v>8.5</v>
      </c>
      <c r="K15" s="1" t="str">
        <f>IF(AND(Table1[[#This Row],[Rising Through Threshold]],J14&gt;0),J15-J14,"")</f>
        <v/>
      </c>
      <c r="M15" s="8"/>
      <c r="Z15" s="9"/>
    </row>
    <row r="16" spans="1:26" x14ac:dyDescent="0.45">
      <c r="A16" s="1" t="s">
        <v>502</v>
      </c>
      <c r="B16" s="1">
        <f t="shared" si="1"/>
        <v>6</v>
      </c>
      <c r="C16" s="1">
        <f t="shared" si="2"/>
        <v>13</v>
      </c>
      <c r="D16" s="1">
        <f t="shared" si="3"/>
        <v>18</v>
      </c>
      <c r="E16" s="1">
        <f t="shared" si="4"/>
        <v>20</v>
      </c>
      <c r="F16" s="3">
        <f t="shared" si="5"/>
        <v>59.5</v>
      </c>
      <c r="G16" s="4">
        <f t="shared" si="6"/>
        <v>2</v>
      </c>
      <c r="H16" s="3" t="e">
        <f t="shared" si="7"/>
        <v>#VALUE!</v>
      </c>
      <c r="I16" s="1" t="b">
        <f t="shared" si="0"/>
        <v>0</v>
      </c>
      <c r="J16" s="1">
        <f>IF(Table1[[#This Row],[Rising Through Threshold]],Table1[[#This Row],[Start time]],J15)</f>
        <v>8.5</v>
      </c>
      <c r="K16" s="1" t="str">
        <f>IF(AND(Table1[[#This Row],[Rising Through Threshold]],J15&gt;0),J16-J15,"")</f>
        <v/>
      </c>
      <c r="M16" s="8"/>
      <c r="Z16" s="9"/>
    </row>
    <row r="17" spans="1:26" x14ac:dyDescent="0.45">
      <c r="A17" s="1" t="s">
        <v>503</v>
      </c>
      <c r="B17" s="1">
        <f t="shared" si="1"/>
        <v>6</v>
      </c>
      <c r="C17" s="1">
        <f t="shared" si="2"/>
        <v>13</v>
      </c>
      <c r="D17" s="1">
        <f t="shared" si="3"/>
        <v>18</v>
      </c>
      <c r="E17" s="1">
        <f t="shared" si="4"/>
        <v>20</v>
      </c>
      <c r="F17" s="3">
        <f t="shared" si="5"/>
        <v>63.75</v>
      </c>
      <c r="G17" s="4">
        <f t="shared" si="6"/>
        <v>3.27</v>
      </c>
      <c r="H17" s="3" t="e">
        <f t="shared" si="7"/>
        <v>#VALUE!</v>
      </c>
      <c r="I17" s="1" t="b">
        <f t="shared" si="0"/>
        <v>1</v>
      </c>
      <c r="J17" s="1">
        <f>IF(Table1[[#This Row],[Rising Through Threshold]],Table1[[#This Row],[Start time]],J16)</f>
        <v>63.75</v>
      </c>
      <c r="K17" s="1">
        <f>IF(AND(Table1[[#This Row],[Rising Through Threshold]],J16&gt;0),J17-J16,"")</f>
        <v>55.25</v>
      </c>
      <c r="M17" s="8"/>
      <c r="Z17" s="9"/>
    </row>
    <row r="18" spans="1:26" x14ac:dyDescent="0.45">
      <c r="A18" s="1" t="s">
        <v>504</v>
      </c>
      <c r="B18" s="1">
        <f t="shared" si="1"/>
        <v>6</v>
      </c>
      <c r="C18" s="1">
        <f t="shared" si="2"/>
        <v>11</v>
      </c>
      <c r="D18" s="1">
        <f t="shared" si="3"/>
        <v>16</v>
      </c>
      <c r="E18" s="1">
        <f t="shared" si="4"/>
        <v>18</v>
      </c>
      <c r="F18" s="3">
        <f t="shared" si="5"/>
        <v>68</v>
      </c>
      <c r="G18" s="4">
        <f t="shared" si="6"/>
        <v>3.76</v>
      </c>
      <c r="H18" s="3" t="e">
        <f t="shared" si="7"/>
        <v>#VALUE!</v>
      </c>
      <c r="I18" s="1" t="b">
        <f t="shared" si="0"/>
        <v>0</v>
      </c>
      <c r="J18" s="1">
        <f>IF(Table1[[#This Row],[Rising Through Threshold]],Table1[[#This Row],[Start time]],J17)</f>
        <v>63.75</v>
      </c>
      <c r="K18" s="1" t="str">
        <f>IF(AND(Table1[[#This Row],[Rising Through Threshold]],J17&gt;0),J18-J17,"")</f>
        <v/>
      </c>
      <c r="M18" s="8"/>
      <c r="Z18" s="9"/>
    </row>
    <row r="19" spans="1:26" x14ac:dyDescent="0.45">
      <c r="A19" s="1" t="s">
        <v>505</v>
      </c>
      <c r="B19" s="1">
        <f t="shared" si="1"/>
        <v>6</v>
      </c>
      <c r="C19" s="1">
        <f t="shared" si="2"/>
        <v>13</v>
      </c>
      <c r="D19" s="1">
        <f t="shared" si="3"/>
        <v>18</v>
      </c>
      <c r="E19" s="1">
        <f t="shared" si="4"/>
        <v>20</v>
      </c>
      <c r="F19" s="3">
        <f t="shared" si="5"/>
        <v>72.25</v>
      </c>
      <c r="G19" s="4">
        <f t="shared" si="6"/>
        <v>4.71</v>
      </c>
      <c r="H19" s="3" t="e">
        <f t="shared" si="7"/>
        <v>#VALUE!</v>
      </c>
      <c r="I19" s="1" t="b">
        <f t="shared" si="0"/>
        <v>0</v>
      </c>
      <c r="J19" s="1">
        <f>IF(Table1[[#This Row],[Rising Through Threshold]],Table1[[#This Row],[Start time]],J18)</f>
        <v>63.75</v>
      </c>
      <c r="K19" s="1" t="str">
        <f>IF(AND(Table1[[#This Row],[Rising Through Threshold]],J18&gt;0),J19-J18,"")</f>
        <v/>
      </c>
      <c r="M19" s="8"/>
      <c r="Z19" s="9"/>
    </row>
    <row r="20" spans="1:26" x14ac:dyDescent="0.45">
      <c r="A20" s="1" t="s">
        <v>506</v>
      </c>
      <c r="B20" s="1">
        <f t="shared" si="1"/>
        <v>6</v>
      </c>
      <c r="C20" s="1">
        <f t="shared" si="2"/>
        <v>13</v>
      </c>
      <c r="D20" s="1">
        <f t="shared" si="3"/>
        <v>18</v>
      </c>
      <c r="E20" s="1">
        <f t="shared" si="4"/>
        <v>20</v>
      </c>
      <c r="F20" s="3">
        <f t="shared" si="5"/>
        <v>76.5</v>
      </c>
      <c r="G20" s="4">
        <f t="shared" si="6"/>
        <v>5</v>
      </c>
      <c r="H20" s="3" t="e">
        <f t="shared" si="7"/>
        <v>#VALUE!</v>
      </c>
      <c r="I20" s="1" t="b">
        <f t="shared" si="0"/>
        <v>0</v>
      </c>
      <c r="J20" s="1">
        <f>IF(Table1[[#This Row],[Rising Through Threshold]],Table1[[#This Row],[Start time]],J19)</f>
        <v>63.75</v>
      </c>
      <c r="K20" s="1" t="str">
        <f>IF(AND(Table1[[#This Row],[Rising Through Threshold]],J19&gt;0),J20-J19,"")</f>
        <v/>
      </c>
      <c r="M20" s="8"/>
      <c r="Z20" s="9"/>
    </row>
    <row r="21" spans="1:26" x14ac:dyDescent="0.45">
      <c r="A21" s="1" t="s">
        <v>507</v>
      </c>
      <c r="B21" s="1">
        <f t="shared" si="1"/>
        <v>6</v>
      </c>
      <c r="C21" s="1">
        <f t="shared" si="2"/>
        <v>13</v>
      </c>
      <c r="D21" s="1">
        <f t="shared" si="3"/>
        <v>18</v>
      </c>
      <c r="E21" s="1">
        <f t="shared" si="4"/>
        <v>20</v>
      </c>
      <c r="F21" s="3">
        <f t="shared" si="5"/>
        <v>80.75</v>
      </c>
      <c r="G21" s="4">
        <f t="shared" si="6"/>
        <v>3.9</v>
      </c>
      <c r="H21" s="3" t="e">
        <f t="shared" si="7"/>
        <v>#VALUE!</v>
      </c>
      <c r="I21" s="1" t="b">
        <f t="shared" si="0"/>
        <v>0</v>
      </c>
      <c r="J21" s="1">
        <f>IF(Table1[[#This Row],[Rising Through Threshold]],Table1[[#This Row],[Start time]],J20)</f>
        <v>63.75</v>
      </c>
      <c r="K21" s="1" t="str">
        <f>IF(AND(Table1[[#This Row],[Rising Through Threshold]],J20&gt;0),J21-J20,"")</f>
        <v/>
      </c>
      <c r="M21" s="8"/>
      <c r="Z21" s="9"/>
    </row>
    <row r="22" spans="1:26" x14ac:dyDescent="0.45">
      <c r="A22" s="1" t="s">
        <v>508</v>
      </c>
      <c r="B22" s="1">
        <f t="shared" si="1"/>
        <v>6</v>
      </c>
      <c r="C22" s="1">
        <f t="shared" si="2"/>
        <v>11</v>
      </c>
      <c r="D22" s="1">
        <f t="shared" si="3"/>
        <v>16</v>
      </c>
      <c r="E22" s="1">
        <f t="shared" si="4"/>
        <v>18</v>
      </c>
      <c r="F22" s="3">
        <f t="shared" si="5"/>
        <v>85</v>
      </c>
      <c r="G22" s="4">
        <f t="shared" si="6"/>
        <v>2.98</v>
      </c>
      <c r="H22" s="3" t="e">
        <f t="shared" si="7"/>
        <v>#VALUE!</v>
      </c>
      <c r="I22" s="1" t="b">
        <f t="shared" si="0"/>
        <v>0</v>
      </c>
      <c r="J22" s="1">
        <f>IF(Table1[[#This Row],[Rising Through Threshold]],Table1[[#This Row],[Start time]],J21)</f>
        <v>63.75</v>
      </c>
      <c r="K22" s="1" t="str">
        <f>IF(AND(Table1[[#This Row],[Rising Through Threshold]],J21&gt;0),J22-J21,"")</f>
        <v/>
      </c>
      <c r="M22" s="8"/>
      <c r="Z22" s="9"/>
    </row>
    <row r="23" spans="1:26" x14ac:dyDescent="0.45">
      <c r="A23" s="1" t="s">
        <v>509</v>
      </c>
      <c r="B23" s="1">
        <f t="shared" si="1"/>
        <v>6</v>
      </c>
      <c r="C23" s="1">
        <f t="shared" si="2"/>
        <v>13</v>
      </c>
      <c r="D23" s="1">
        <f t="shared" si="3"/>
        <v>18</v>
      </c>
      <c r="E23" s="1">
        <f t="shared" si="4"/>
        <v>20</v>
      </c>
      <c r="F23" s="3">
        <f t="shared" si="5"/>
        <v>89.25</v>
      </c>
      <c r="G23" s="4">
        <f t="shared" si="6"/>
        <v>2.02</v>
      </c>
      <c r="H23" s="3" t="e">
        <f t="shared" si="7"/>
        <v>#VALUE!</v>
      </c>
      <c r="I23" s="1" t="b">
        <f t="shared" si="0"/>
        <v>0</v>
      </c>
      <c r="J23" s="1">
        <f>IF(Table1[[#This Row],[Rising Through Threshold]],Table1[[#This Row],[Start time]],J22)</f>
        <v>63.75</v>
      </c>
      <c r="K23" s="1" t="str">
        <f>IF(AND(Table1[[#This Row],[Rising Through Threshold]],J22&gt;0),J23-J22,"")</f>
        <v/>
      </c>
      <c r="M23" s="8"/>
      <c r="Z23" s="9"/>
    </row>
    <row r="24" spans="1:26" ht="15.75" x14ac:dyDescent="0.5">
      <c r="A24" s="1" t="s">
        <v>510</v>
      </c>
      <c r="B24" s="1">
        <f t="shared" si="1"/>
        <v>6</v>
      </c>
      <c r="C24" s="1">
        <f t="shared" si="2"/>
        <v>13</v>
      </c>
      <c r="D24" s="1">
        <f t="shared" si="3"/>
        <v>18</v>
      </c>
      <c r="E24" s="1">
        <f t="shared" si="4"/>
        <v>20</v>
      </c>
      <c r="F24" s="3">
        <f t="shared" si="5"/>
        <v>93.5</v>
      </c>
      <c r="G24" s="4">
        <f t="shared" si="6"/>
        <v>0.18</v>
      </c>
      <c r="H24" s="3" t="e">
        <f t="shared" si="7"/>
        <v>#VALUE!</v>
      </c>
      <c r="I24" s="1" t="b">
        <f t="shared" si="0"/>
        <v>0</v>
      </c>
      <c r="J24" s="1">
        <f>IF(Table1[[#This Row],[Rising Through Threshold]],Table1[[#This Row],[Start time]],J23)</f>
        <v>63.75</v>
      </c>
      <c r="K24" s="1" t="str">
        <f>IF(AND(Table1[[#This Row],[Rising Through Threshold]],J23&gt;0),J24-J23,"")</f>
        <v/>
      </c>
      <c r="M24" s="8"/>
      <c r="N24" s="16" t="s">
        <v>8</v>
      </c>
      <c r="O24" s="10">
        <f>MAX(Table1[Voltage])</f>
        <v>5</v>
      </c>
      <c r="R24" s="16" t="s">
        <v>11</v>
      </c>
      <c r="S24" s="10">
        <f>O27</f>
        <v>2.3721249999999992</v>
      </c>
      <c r="Z24" s="9"/>
    </row>
    <row r="25" spans="1:26" ht="15.75" x14ac:dyDescent="0.5">
      <c r="A25" s="1" t="s">
        <v>511</v>
      </c>
      <c r="B25" s="1">
        <f t="shared" si="1"/>
        <v>6</v>
      </c>
      <c r="C25" s="1">
        <f t="shared" si="2"/>
        <v>13</v>
      </c>
      <c r="D25" s="1">
        <f t="shared" si="3"/>
        <v>18</v>
      </c>
      <c r="E25" s="1">
        <f t="shared" si="4"/>
        <v>20</v>
      </c>
      <c r="F25" s="3">
        <f t="shared" si="5"/>
        <v>97.75</v>
      </c>
      <c r="G25" s="4">
        <f t="shared" si="6"/>
        <v>0</v>
      </c>
      <c r="H25" s="3" t="e">
        <f t="shared" si="7"/>
        <v>#VALUE!</v>
      </c>
      <c r="I25" s="1" t="b">
        <f t="shared" si="0"/>
        <v>0</v>
      </c>
      <c r="J25" s="1">
        <f>IF(Table1[[#This Row],[Rising Through Threshold]],Table1[[#This Row],[Start time]],J24)</f>
        <v>63.75</v>
      </c>
      <c r="K25" s="1" t="str">
        <f>IF(AND(Table1[[#This Row],[Rising Through Threshold]],J24&gt;0),J25-J24,"")</f>
        <v/>
      </c>
      <c r="M25" s="8"/>
      <c r="N25" s="16" t="s">
        <v>9</v>
      </c>
      <c r="O25" s="10">
        <f>MIN(Table1[Voltage])</f>
        <v>0</v>
      </c>
      <c r="R25" s="16" t="s">
        <v>14</v>
      </c>
      <c r="S25" s="11">
        <f>Table1[[#Totals],[Period]]</f>
        <v>52.59375</v>
      </c>
      <c r="Z25" s="9"/>
    </row>
    <row r="26" spans="1:26" ht="15.75" x14ac:dyDescent="0.5">
      <c r="A26" s="1" t="s">
        <v>512</v>
      </c>
      <c r="B26" s="1">
        <f t="shared" si="1"/>
        <v>6</v>
      </c>
      <c r="C26" s="1">
        <f t="shared" si="2"/>
        <v>12</v>
      </c>
      <c r="D26" s="1">
        <f t="shared" si="3"/>
        <v>17</v>
      </c>
      <c r="E26" s="1">
        <f t="shared" si="4"/>
        <v>19</v>
      </c>
      <c r="F26" s="3">
        <f t="shared" si="5"/>
        <v>102</v>
      </c>
      <c r="G26" s="4">
        <f t="shared" si="6"/>
        <v>0</v>
      </c>
      <c r="H26" s="3" t="e">
        <f t="shared" si="7"/>
        <v>#VALUE!</v>
      </c>
      <c r="I26" s="1" t="b">
        <f t="shared" si="0"/>
        <v>0</v>
      </c>
      <c r="J26" s="1">
        <f>IF(Table1[[#This Row],[Rising Through Threshold]],Table1[[#This Row],[Start time]],J25)</f>
        <v>63.75</v>
      </c>
      <c r="K26" s="1" t="str">
        <f>IF(AND(Table1[[#This Row],[Rising Through Threshold]],J25&gt;0),J26-J25,"")</f>
        <v/>
      </c>
      <c r="M26" s="8"/>
      <c r="N26" s="16" t="s">
        <v>10</v>
      </c>
      <c r="O26" s="10">
        <f>O24-O25</f>
        <v>5</v>
      </c>
      <c r="R26" s="16" t="s">
        <v>16</v>
      </c>
      <c r="S26" s="12">
        <f>1/(S25/1000000)</f>
        <v>19013.666072489603</v>
      </c>
      <c r="Z26" s="9"/>
    </row>
    <row r="27" spans="1:26" ht="15.75" x14ac:dyDescent="0.5">
      <c r="A27" s="1" t="s">
        <v>513</v>
      </c>
      <c r="B27" s="1">
        <f t="shared" si="1"/>
        <v>6</v>
      </c>
      <c r="C27" s="1">
        <f t="shared" si="2"/>
        <v>14</v>
      </c>
      <c r="D27" s="1">
        <f t="shared" si="3"/>
        <v>19</v>
      </c>
      <c r="E27" s="1">
        <f t="shared" si="4"/>
        <v>21</v>
      </c>
      <c r="F27" s="3">
        <f t="shared" si="5"/>
        <v>106.25</v>
      </c>
      <c r="G27" s="4">
        <f t="shared" si="6"/>
        <v>0.49</v>
      </c>
      <c r="H27" s="3" t="e">
        <f t="shared" si="7"/>
        <v>#VALUE!</v>
      </c>
      <c r="I27" s="1" t="b">
        <f t="shared" si="0"/>
        <v>0</v>
      </c>
      <c r="J27" s="1">
        <f>IF(Table1[[#This Row],[Rising Through Threshold]],Table1[[#This Row],[Start time]],J26)</f>
        <v>63.75</v>
      </c>
      <c r="K27" s="1" t="str">
        <f>IF(AND(Table1[[#This Row],[Rising Through Threshold]],J26&gt;0),J27-J26,"")</f>
        <v/>
      </c>
      <c r="M27" s="8"/>
      <c r="N27" s="16" t="s">
        <v>17</v>
      </c>
      <c r="O27" s="10">
        <f>Table1[[#Totals],[Voltage]]</f>
        <v>2.3721249999999992</v>
      </c>
      <c r="Z27" s="9"/>
    </row>
    <row r="28" spans="1:26" x14ac:dyDescent="0.45">
      <c r="A28" s="1" t="s">
        <v>514</v>
      </c>
      <c r="B28" s="1">
        <f t="shared" si="1"/>
        <v>6</v>
      </c>
      <c r="C28" s="1">
        <f t="shared" si="2"/>
        <v>14</v>
      </c>
      <c r="D28" s="1">
        <f t="shared" si="3"/>
        <v>19</v>
      </c>
      <c r="E28" s="1">
        <f t="shared" si="4"/>
        <v>21</v>
      </c>
      <c r="F28" s="3">
        <f t="shared" si="5"/>
        <v>110.5</v>
      </c>
      <c r="G28" s="4">
        <f t="shared" si="6"/>
        <v>1.94</v>
      </c>
      <c r="H28" s="3" t="e">
        <f t="shared" si="7"/>
        <v>#VALUE!</v>
      </c>
      <c r="I28" s="1" t="b">
        <f t="shared" si="0"/>
        <v>0</v>
      </c>
      <c r="J28" s="1">
        <f>IF(Table1[[#This Row],[Rising Through Threshold]],Table1[[#This Row],[Start time]],J27)</f>
        <v>63.75</v>
      </c>
      <c r="K28" s="1" t="str">
        <f>IF(AND(Table1[[#This Row],[Rising Through Threshold]],J27&gt;0),J28-J27,"")</f>
        <v/>
      </c>
      <c r="M28" s="8"/>
      <c r="Z28" s="9"/>
    </row>
    <row r="29" spans="1:26" ht="14.65" thickBot="1" x14ac:dyDescent="0.5">
      <c r="A29" s="1" t="s">
        <v>515</v>
      </c>
      <c r="B29" s="1">
        <f t="shared" si="1"/>
        <v>6</v>
      </c>
      <c r="C29" s="1">
        <f t="shared" si="2"/>
        <v>14</v>
      </c>
      <c r="D29" s="1">
        <f t="shared" si="3"/>
        <v>19</v>
      </c>
      <c r="E29" s="1">
        <f t="shared" si="4"/>
        <v>21</v>
      </c>
      <c r="F29" s="3">
        <f t="shared" si="5"/>
        <v>114.75</v>
      </c>
      <c r="G29" s="4">
        <f t="shared" si="6"/>
        <v>2.67</v>
      </c>
      <c r="H29" s="3" t="e">
        <f t="shared" si="7"/>
        <v>#VALUE!</v>
      </c>
      <c r="I29" s="1" t="b">
        <f t="shared" si="0"/>
        <v>1</v>
      </c>
      <c r="J29" s="1">
        <f>IF(Table1[[#This Row],[Rising Through Threshold]],Table1[[#This Row],[Start time]],J28)</f>
        <v>114.75</v>
      </c>
      <c r="K29" s="1">
        <f>IF(AND(Table1[[#This Row],[Rising Through Threshold]],J28&gt;0),J29-J28,"")</f>
        <v>51</v>
      </c>
      <c r="M29" s="13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5"/>
    </row>
    <row r="30" spans="1:26" x14ac:dyDescent="0.45">
      <c r="A30" s="1" t="s">
        <v>516</v>
      </c>
      <c r="B30" s="1">
        <f t="shared" si="1"/>
        <v>6</v>
      </c>
      <c r="C30" s="1">
        <f t="shared" si="2"/>
        <v>12</v>
      </c>
      <c r="D30" s="1">
        <f t="shared" si="3"/>
        <v>17</v>
      </c>
      <c r="E30" s="1">
        <f t="shared" si="4"/>
        <v>19</v>
      </c>
      <c r="F30" s="3">
        <f t="shared" si="5"/>
        <v>119</v>
      </c>
      <c r="G30" s="4">
        <f t="shared" si="6"/>
        <v>3.27</v>
      </c>
      <c r="H30" s="3" t="e">
        <f t="shared" si="7"/>
        <v>#VALUE!</v>
      </c>
      <c r="I30" s="1" t="b">
        <f t="shared" si="0"/>
        <v>0</v>
      </c>
      <c r="J30" s="1">
        <f>IF(Table1[[#This Row],[Rising Through Threshold]],Table1[[#This Row],[Start time]],J29)</f>
        <v>114.75</v>
      </c>
      <c r="K30" s="1" t="str">
        <f>IF(AND(Table1[[#This Row],[Rising Through Threshold]],J29&gt;0),J30-J29,"")</f>
        <v/>
      </c>
    </row>
    <row r="31" spans="1:26" x14ac:dyDescent="0.45">
      <c r="A31" s="1" t="s">
        <v>517</v>
      </c>
      <c r="B31" s="1">
        <f t="shared" si="1"/>
        <v>6</v>
      </c>
      <c r="C31" s="1">
        <f t="shared" si="2"/>
        <v>14</v>
      </c>
      <c r="D31" s="1">
        <f t="shared" si="3"/>
        <v>19</v>
      </c>
      <c r="E31" s="1">
        <f t="shared" si="4"/>
        <v>21</v>
      </c>
      <c r="F31" s="3">
        <f t="shared" si="5"/>
        <v>123.25</v>
      </c>
      <c r="G31" s="4">
        <f t="shared" si="6"/>
        <v>4.71</v>
      </c>
      <c r="H31" s="3" t="e">
        <f t="shared" si="7"/>
        <v>#VALUE!</v>
      </c>
      <c r="I31" s="1" t="b">
        <f t="shared" si="0"/>
        <v>0</v>
      </c>
      <c r="J31" s="1">
        <f>IF(Table1[[#This Row],[Rising Through Threshold]],Table1[[#This Row],[Start time]],J30)</f>
        <v>114.75</v>
      </c>
      <c r="K31" s="1" t="str">
        <f>IF(AND(Table1[[#This Row],[Rising Through Threshold]],J30&gt;0),J31-J30,"")</f>
        <v/>
      </c>
    </row>
    <row r="32" spans="1:26" x14ac:dyDescent="0.45">
      <c r="A32" s="1" t="s">
        <v>518</v>
      </c>
      <c r="B32" s="1">
        <f t="shared" ref="B32:B44" si="8">FIND(":",$A32,1)</f>
        <v>6</v>
      </c>
      <c r="C32" s="1">
        <f t="shared" ref="C32:C44" si="9">FIND(":",$A32,B32+1)</f>
        <v>14</v>
      </c>
      <c r="D32" s="1">
        <f t="shared" ref="D32:D44" si="10">FIND(":",$A32,C32+1)</f>
        <v>19</v>
      </c>
      <c r="E32" s="1">
        <f t="shared" ref="E32:E44" si="11">FIND(":",$A32,D32+1)</f>
        <v>21</v>
      </c>
      <c r="F32" s="3">
        <f t="shared" ref="F32:F44" si="12">_xlfn.NUMBERVALUE(MID($A32,B32+1,C32-B32-1))</f>
        <v>127.5</v>
      </c>
      <c r="G32" s="4">
        <f t="shared" ref="G32:G44" si="13">_xlfn.NUMBERVALUE(MID($A32,C32+1,D32-C32-1))</f>
        <v>5</v>
      </c>
      <c r="H32" s="3" t="e">
        <f t="shared" ref="H32:H44" si="14">_xlfn.NUMBERVALUE(MID($A32,E32+1,1000))</f>
        <v>#VALUE!</v>
      </c>
      <c r="I32" s="1" t="b">
        <f t="shared" ref="I32:I44" si="15">AND(G31&lt;Threshold,G32&gt;Threshold)</f>
        <v>0</v>
      </c>
      <c r="J32" s="1">
        <f>IF(Table1[[#This Row],[Rising Through Threshold]],Table1[[#This Row],[Start time]],J31)</f>
        <v>114.75</v>
      </c>
      <c r="K32" s="1" t="str">
        <f>IF(AND(Table1[[#This Row],[Rising Through Threshold]],J31&gt;0),J32-J31,"")</f>
        <v/>
      </c>
    </row>
    <row r="33" spans="1:11" x14ac:dyDescent="0.45">
      <c r="A33" s="1" t="s">
        <v>519</v>
      </c>
      <c r="B33" s="1">
        <f t="shared" si="8"/>
        <v>6</v>
      </c>
      <c r="C33" s="1">
        <f t="shared" si="9"/>
        <v>14</v>
      </c>
      <c r="D33" s="1">
        <f t="shared" si="10"/>
        <v>19</v>
      </c>
      <c r="E33" s="1">
        <f t="shared" si="11"/>
        <v>21</v>
      </c>
      <c r="F33" s="3">
        <f t="shared" si="12"/>
        <v>131.75</v>
      </c>
      <c r="G33" s="4">
        <f t="shared" si="13"/>
        <v>4.8600000000000003</v>
      </c>
      <c r="H33" s="3" t="e">
        <f t="shared" si="14"/>
        <v>#VALUE!</v>
      </c>
      <c r="I33" s="1" t="b">
        <f t="shared" si="15"/>
        <v>0</v>
      </c>
      <c r="J33" s="1">
        <f>IF(Table1[[#This Row],[Rising Through Threshold]],Table1[[#This Row],[Start time]],J32)</f>
        <v>114.75</v>
      </c>
      <c r="K33" s="1" t="str">
        <f>IF(AND(Table1[[#This Row],[Rising Through Threshold]],J32&gt;0),J33-J32,"")</f>
        <v/>
      </c>
    </row>
    <row r="34" spans="1:11" x14ac:dyDescent="0.45">
      <c r="A34" s="1" t="s">
        <v>520</v>
      </c>
      <c r="B34" s="1">
        <f t="shared" si="8"/>
        <v>6</v>
      </c>
      <c r="C34" s="1">
        <f t="shared" si="9"/>
        <v>12</v>
      </c>
      <c r="D34" s="1">
        <f t="shared" si="10"/>
        <v>17</v>
      </c>
      <c r="E34" s="1">
        <f t="shared" si="11"/>
        <v>19</v>
      </c>
      <c r="F34" s="3">
        <f t="shared" si="12"/>
        <v>136</v>
      </c>
      <c r="G34" s="4">
        <f t="shared" si="13"/>
        <v>3</v>
      </c>
      <c r="H34" s="3" t="e">
        <f t="shared" si="14"/>
        <v>#VALUE!</v>
      </c>
      <c r="I34" s="1" t="b">
        <f t="shared" si="15"/>
        <v>0</v>
      </c>
      <c r="J34" s="1">
        <f>IF(Table1[[#This Row],[Rising Through Threshold]],Table1[[#This Row],[Start time]],J33)</f>
        <v>114.75</v>
      </c>
      <c r="K34" s="1" t="str">
        <f>IF(AND(Table1[[#This Row],[Rising Through Threshold]],J33&gt;0),J34-J33,"")</f>
        <v/>
      </c>
    </row>
    <row r="35" spans="1:11" x14ac:dyDescent="0.45">
      <c r="A35" s="1" t="s">
        <v>521</v>
      </c>
      <c r="B35" s="1">
        <f t="shared" si="8"/>
        <v>6</v>
      </c>
      <c r="C35" s="1">
        <f t="shared" si="9"/>
        <v>14</v>
      </c>
      <c r="D35" s="1">
        <f t="shared" si="10"/>
        <v>19</v>
      </c>
      <c r="E35" s="1">
        <f t="shared" si="11"/>
        <v>21</v>
      </c>
      <c r="F35" s="3">
        <f t="shared" si="12"/>
        <v>140.25</v>
      </c>
      <c r="G35" s="4">
        <f t="shared" si="13"/>
        <v>2.06</v>
      </c>
      <c r="H35" s="3" t="e">
        <f t="shared" si="14"/>
        <v>#VALUE!</v>
      </c>
      <c r="I35" s="1" t="b">
        <f t="shared" si="15"/>
        <v>0</v>
      </c>
      <c r="J35" s="1">
        <f>IF(Table1[[#This Row],[Rising Through Threshold]],Table1[[#This Row],[Start time]],J34)</f>
        <v>114.75</v>
      </c>
      <c r="K35" s="1" t="str">
        <f>IF(AND(Table1[[#This Row],[Rising Through Threshold]],J34&gt;0),J35-J34,"")</f>
        <v/>
      </c>
    </row>
    <row r="36" spans="1:11" x14ac:dyDescent="0.45">
      <c r="A36" s="1" t="s">
        <v>522</v>
      </c>
      <c r="B36" s="1">
        <f t="shared" si="8"/>
        <v>6</v>
      </c>
      <c r="C36" s="1">
        <f t="shared" si="9"/>
        <v>14</v>
      </c>
      <c r="D36" s="1">
        <f t="shared" si="10"/>
        <v>19</v>
      </c>
      <c r="E36" s="1">
        <f t="shared" si="11"/>
        <v>21</v>
      </c>
      <c r="F36" s="3">
        <f t="shared" si="12"/>
        <v>144.5</v>
      </c>
      <c r="G36" s="4">
        <f t="shared" si="13"/>
        <v>1.1000000000000001</v>
      </c>
      <c r="H36" s="3" t="e">
        <f t="shared" si="14"/>
        <v>#VALUE!</v>
      </c>
      <c r="I36" s="1" t="b">
        <f t="shared" si="15"/>
        <v>0</v>
      </c>
      <c r="J36" s="1">
        <f>IF(Table1[[#This Row],[Rising Through Threshold]],Table1[[#This Row],[Start time]],J35)</f>
        <v>114.75</v>
      </c>
      <c r="K36" s="1" t="str">
        <f>IF(AND(Table1[[#This Row],[Rising Through Threshold]],J35&gt;0),J36-J35,"")</f>
        <v/>
      </c>
    </row>
    <row r="37" spans="1:11" x14ac:dyDescent="0.45">
      <c r="A37" s="1" t="s">
        <v>523</v>
      </c>
      <c r="B37" s="1">
        <f t="shared" si="8"/>
        <v>6</v>
      </c>
      <c r="C37" s="1">
        <f t="shared" si="9"/>
        <v>14</v>
      </c>
      <c r="D37" s="1">
        <f t="shared" si="10"/>
        <v>19</v>
      </c>
      <c r="E37" s="1">
        <f t="shared" si="11"/>
        <v>21</v>
      </c>
      <c r="F37" s="3">
        <f t="shared" si="12"/>
        <v>148.75</v>
      </c>
      <c r="G37" s="4">
        <f t="shared" si="13"/>
        <v>0.18</v>
      </c>
      <c r="H37" s="3" t="e">
        <f t="shared" si="14"/>
        <v>#VALUE!</v>
      </c>
      <c r="I37" s="1" t="b">
        <f t="shared" si="15"/>
        <v>0</v>
      </c>
      <c r="J37" s="1">
        <f>IF(Table1[[#This Row],[Rising Through Threshold]],Table1[[#This Row],[Start time]],J36)</f>
        <v>114.75</v>
      </c>
      <c r="K37" s="1" t="str">
        <f>IF(AND(Table1[[#This Row],[Rising Through Threshold]],J36&gt;0),J37-J36,"")</f>
        <v/>
      </c>
    </row>
    <row r="38" spans="1:11" x14ac:dyDescent="0.45">
      <c r="A38" s="1" t="s">
        <v>524</v>
      </c>
      <c r="B38" s="1">
        <f t="shared" si="8"/>
        <v>6</v>
      </c>
      <c r="C38" s="1">
        <f t="shared" si="9"/>
        <v>12</v>
      </c>
      <c r="D38" s="1">
        <f t="shared" si="10"/>
        <v>17</v>
      </c>
      <c r="E38" s="1">
        <f t="shared" si="11"/>
        <v>19</v>
      </c>
      <c r="F38" s="3">
        <f t="shared" si="12"/>
        <v>153</v>
      </c>
      <c r="G38" s="4">
        <f t="shared" si="13"/>
        <v>0</v>
      </c>
      <c r="H38" s="3" t="e">
        <f t="shared" si="14"/>
        <v>#VALUE!</v>
      </c>
      <c r="I38" s="1" t="b">
        <f t="shared" si="15"/>
        <v>0</v>
      </c>
      <c r="J38" s="1">
        <f>IF(Table1[[#This Row],[Rising Through Threshold]],Table1[[#This Row],[Start time]],J37)</f>
        <v>114.75</v>
      </c>
      <c r="K38" s="1" t="str">
        <f>IF(AND(Table1[[#This Row],[Rising Through Threshold]],J37&gt;0),J38-J37,"")</f>
        <v/>
      </c>
    </row>
    <row r="39" spans="1:11" x14ac:dyDescent="0.45">
      <c r="A39" s="1" t="s">
        <v>525</v>
      </c>
      <c r="B39" s="1">
        <f t="shared" si="8"/>
        <v>6</v>
      </c>
      <c r="C39" s="1">
        <f t="shared" si="9"/>
        <v>14</v>
      </c>
      <c r="D39" s="1">
        <f t="shared" si="10"/>
        <v>19</v>
      </c>
      <c r="E39" s="1">
        <f t="shared" si="11"/>
        <v>21</v>
      </c>
      <c r="F39" s="3">
        <f t="shared" si="12"/>
        <v>157.25</v>
      </c>
      <c r="G39" s="4">
        <f t="shared" si="13"/>
        <v>0.47</v>
      </c>
      <c r="H39" s="3" t="e">
        <f t="shared" si="14"/>
        <v>#VALUE!</v>
      </c>
      <c r="I39" s="1" t="b">
        <f t="shared" si="15"/>
        <v>0</v>
      </c>
      <c r="J39" s="1">
        <f>IF(Table1[[#This Row],[Rising Through Threshold]],Table1[[#This Row],[Start time]],J38)</f>
        <v>114.75</v>
      </c>
      <c r="K39" s="1" t="str">
        <f>IF(AND(Table1[[#This Row],[Rising Through Threshold]],J38&gt;0),J39-J38,"")</f>
        <v/>
      </c>
    </row>
    <row r="40" spans="1:11" x14ac:dyDescent="0.45">
      <c r="A40" s="1" t="s">
        <v>526</v>
      </c>
      <c r="B40" s="1">
        <f t="shared" si="8"/>
        <v>6</v>
      </c>
      <c r="C40" s="1">
        <f t="shared" si="9"/>
        <v>14</v>
      </c>
      <c r="D40" s="1">
        <f t="shared" si="10"/>
        <v>19</v>
      </c>
      <c r="E40" s="1">
        <f t="shared" si="11"/>
        <v>21</v>
      </c>
      <c r="F40" s="3">
        <f t="shared" si="12"/>
        <v>161.5</v>
      </c>
      <c r="G40" s="4">
        <f t="shared" si="13"/>
        <v>1.1200000000000001</v>
      </c>
      <c r="H40" s="3" t="e">
        <f t="shared" si="14"/>
        <v>#VALUE!</v>
      </c>
      <c r="I40" s="1" t="b">
        <f t="shared" si="15"/>
        <v>0</v>
      </c>
      <c r="J40" s="1">
        <f>IF(Table1[[#This Row],[Rising Through Threshold]],Table1[[#This Row],[Start time]],J39)</f>
        <v>114.75</v>
      </c>
      <c r="K40" s="1" t="str">
        <f>IF(AND(Table1[[#This Row],[Rising Through Threshold]],J39&gt;0),J40-J39,"")</f>
        <v/>
      </c>
    </row>
    <row r="41" spans="1:11" x14ac:dyDescent="0.45">
      <c r="A41" s="1" t="s">
        <v>486</v>
      </c>
      <c r="B41" s="1">
        <f t="shared" si="8"/>
        <v>6</v>
      </c>
      <c r="C41" s="1">
        <f t="shared" si="9"/>
        <v>14</v>
      </c>
      <c r="D41" s="1">
        <f t="shared" si="10"/>
        <v>19</v>
      </c>
      <c r="E41" s="1">
        <f t="shared" si="11"/>
        <v>21</v>
      </c>
      <c r="F41" s="3">
        <f t="shared" si="12"/>
        <v>165.75</v>
      </c>
      <c r="G41" s="4">
        <f t="shared" si="13"/>
        <v>2.65</v>
      </c>
      <c r="H41" s="3" t="e">
        <f t="shared" si="14"/>
        <v>#VALUE!</v>
      </c>
      <c r="I41" s="1" t="b">
        <f t="shared" si="15"/>
        <v>1</v>
      </c>
      <c r="J41" s="1">
        <f>IF(Table1[[#This Row],[Rising Through Threshold]],Table1[[#This Row],[Start time]],J40)</f>
        <v>165.75</v>
      </c>
      <c r="K41" s="1">
        <f>IF(AND(Table1[[#This Row],[Rising Through Threshold]],J40&gt;0),J41-J40,"")</f>
        <v>51</v>
      </c>
    </row>
    <row r="42" spans="1:11" x14ac:dyDescent="0.45">
      <c r="A42" s="1" t="s">
        <v>527</v>
      </c>
      <c r="B42" s="1">
        <f t="shared" si="8"/>
        <v>6</v>
      </c>
      <c r="C42" s="1">
        <f t="shared" si="9"/>
        <v>12</v>
      </c>
      <c r="D42" s="1">
        <f t="shared" si="10"/>
        <v>17</v>
      </c>
      <c r="E42" s="1">
        <f t="shared" si="11"/>
        <v>19</v>
      </c>
      <c r="F42" s="3">
        <f t="shared" si="12"/>
        <v>170</v>
      </c>
      <c r="G42" s="4">
        <f t="shared" si="13"/>
        <v>3.25</v>
      </c>
      <c r="H42" s="3" t="e">
        <f t="shared" si="14"/>
        <v>#VALUE!</v>
      </c>
      <c r="I42" s="1" t="b">
        <f t="shared" si="15"/>
        <v>0</v>
      </c>
      <c r="J42" s="1">
        <f>IF(Table1[[#This Row],[Rising Through Threshold]],Table1[[#This Row],[Start time]],J41)</f>
        <v>165.75</v>
      </c>
      <c r="K42" s="1" t="str">
        <f>IF(AND(Table1[[#This Row],[Rising Through Threshold]],J41&gt;0),J42-J41,"")</f>
        <v/>
      </c>
    </row>
    <row r="43" spans="1:11" x14ac:dyDescent="0.45">
      <c r="A43" s="1" t="s">
        <v>528</v>
      </c>
      <c r="B43" s="1">
        <f t="shared" si="8"/>
        <v>6</v>
      </c>
      <c r="C43" s="1">
        <f t="shared" si="9"/>
        <v>14</v>
      </c>
      <c r="D43" s="1">
        <f t="shared" si="10"/>
        <v>19</v>
      </c>
      <c r="E43" s="1">
        <f t="shared" si="11"/>
        <v>21</v>
      </c>
      <c r="F43" s="3">
        <f t="shared" si="12"/>
        <v>174.25</v>
      </c>
      <c r="G43" s="4">
        <f t="shared" si="13"/>
        <v>3.76</v>
      </c>
      <c r="H43" s="3" t="e">
        <f t="shared" si="14"/>
        <v>#VALUE!</v>
      </c>
      <c r="I43" s="1" t="b">
        <f t="shared" si="15"/>
        <v>0</v>
      </c>
      <c r="J43" s="1">
        <f>IF(Table1[[#This Row],[Rising Through Threshold]],Table1[[#This Row],[Start time]],J42)</f>
        <v>165.75</v>
      </c>
      <c r="K43" s="1" t="str">
        <f>IF(AND(Table1[[#This Row],[Rising Through Threshold]],J42&gt;0),J43-J42,"")</f>
        <v/>
      </c>
    </row>
    <row r="44" spans="1:11" x14ac:dyDescent="0.45">
      <c r="A44" s="1" t="s">
        <v>529</v>
      </c>
      <c r="B44" s="1">
        <f t="shared" si="8"/>
        <v>6</v>
      </c>
      <c r="C44" s="1">
        <f t="shared" si="9"/>
        <v>14</v>
      </c>
      <c r="D44" s="1">
        <f t="shared" si="10"/>
        <v>19</v>
      </c>
      <c r="E44" s="1">
        <f t="shared" si="11"/>
        <v>21</v>
      </c>
      <c r="F44" s="3">
        <f t="shared" si="12"/>
        <v>178.5</v>
      </c>
      <c r="G44" s="4">
        <f t="shared" si="13"/>
        <v>4.63</v>
      </c>
      <c r="H44" s="3" t="e">
        <f t="shared" si="14"/>
        <v>#VALUE!</v>
      </c>
      <c r="I44" s="1" t="b">
        <f t="shared" si="15"/>
        <v>0</v>
      </c>
      <c r="J44" s="1">
        <f>IF(Table1[[#This Row],[Rising Through Threshold]],Table1[[#This Row],[Start time]],J43)</f>
        <v>165.75</v>
      </c>
      <c r="K44" s="1" t="str">
        <f>IF(AND(Table1[[#This Row],[Rising Through Threshold]],J43&gt;0),J44-J43,"")</f>
        <v/>
      </c>
    </row>
    <row r="45" spans="1:11" x14ac:dyDescent="0.45">
      <c r="A45" s="1" t="s">
        <v>530</v>
      </c>
      <c r="B45" s="1">
        <f t="shared" ref="B45:B56" si="16">FIND(":",$A45,1)</f>
        <v>6</v>
      </c>
      <c r="C45" s="1">
        <f t="shared" ref="C45:C56" si="17">FIND(":",$A45,B45+1)</f>
        <v>14</v>
      </c>
      <c r="D45" s="1">
        <f t="shared" ref="D45:D56" si="18">FIND(":",$A45,C45+1)</f>
        <v>19</v>
      </c>
      <c r="E45" s="1">
        <f t="shared" ref="E45:E56" si="19">FIND(":",$A45,D45+1)</f>
        <v>21</v>
      </c>
      <c r="F45" s="3">
        <f t="shared" ref="F45:F56" si="20">_xlfn.NUMBERVALUE(MID($A45,B45+1,C45-B45-1))</f>
        <v>182.75</v>
      </c>
      <c r="G45" s="4">
        <f t="shared" ref="G45:G56" si="21">_xlfn.NUMBERVALUE(MID($A45,C45+1,D45-C45-1))</f>
        <v>4.8600000000000003</v>
      </c>
      <c r="H45" s="3" t="e">
        <f t="shared" ref="H45:H56" si="22">_xlfn.NUMBERVALUE(MID($A45,E45+1,1000))</f>
        <v>#VALUE!</v>
      </c>
      <c r="I45" s="1" t="b">
        <f t="shared" ref="I45:I108" si="23">AND(G44&lt;Threshold,G45&gt;Threshold)</f>
        <v>0</v>
      </c>
      <c r="J45" s="1">
        <f>IF(Table1[[#This Row],[Rising Through Threshold]],Table1[[#This Row],[Start time]],J44)</f>
        <v>165.75</v>
      </c>
      <c r="K45" s="1" t="str">
        <f>IF(AND(Table1[[#This Row],[Rising Through Threshold]],J44&gt;0),J45-J44,"")</f>
        <v/>
      </c>
    </row>
    <row r="46" spans="1:11" x14ac:dyDescent="0.45">
      <c r="A46" s="1" t="s">
        <v>531</v>
      </c>
      <c r="B46" s="1">
        <f t="shared" si="16"/>
        <v>6</v>
      </c>
      <c r="C46" s="1">
        <f t="shared" si="17"/>
        <v>12</v>
      </c>
      <c r="D46" s="1">
        <f t="shared" si="18"/>
        <v>17</v>
      </c>
      <c r="E46" s="1">
        <f t="shared" si="19"/>
        <v>19</v>
      </c>
      <c r="F46" s="3">
        <f t="shared" si="20"/>
        <v>187</v>
      </c>
      <c r="G46" s="4">
        <f t="shared" si="21"/>
        <v>3.98</v>
      </c>
      <c r="H46" s="3" t="e">
        <f t="shared" si="22"/>
        <v>#VALUE!</v>
      </c>
      <c r="I46" s="1" t="b">
        <f t="shared" si="23"/>
        <v>0</v>
      </c>
      <c r="J46" s="1">
        <f>IF(Table1[[#This Row],[Rising Through Threshold]],Table1[[#This Row],[Start time]],J45)</f>
        <v>165.75</v>
      </c>
      <c r="K46" s="1" t="str">
        <f>IF(AND(Table1[[#This Row],[Rising Through Threshold]],J45&gt;0),J46-J45,"")</f>
        <v/>
      </c>
    </row>
    <row r="47" spans="1:11" x14ac:dyDescent="0.45">
      <c r="A47" s="1" t="s">
        <v>532</v>
      </c>
      <c r="B47" s="1">
        <f t="shared" si="16"/>
        <v>6</v>
      </c>
      <c r="C47" s="1">
        <f t="shared" si="17"/>
        <v>14</v>
      </c>
      <c r="D47" s="1">
        <f t="shared" si="18"/>
        <v>19</v>
      </c>
      <c r="E47" s="1">
        <f t="shared" si="19"/>
        <v>21</v>
      </c>
      <c r="F47" s="3">
        <f t="shared" si="20"/>
        <v>191.25</v>
      </c>
      <c r="G47" s="4">
        <f t="shared" si="21"/>
        <v>3.06</v>
      </c>
      <c r="H47" s="3" t="e">
        <f t="shared" si="22"/>
        <v>#VALUE!</v>
      </c>
      <c r="I47" s="1" t="b">
        <f t="shared" si="23"/>
        <v>0</v>
      </c>
      <c r="J47" s="1">
        <f>IF(Table1[[#This Row],[Rising Through Threshold]],Table1[[#This Row],[Start time]],J46)</f>
        <v>165.75</v>
      </c>
      <c r="K47" s="1" t="str">
        <f>IF(AND(Table1[[#This Row],[Rising Through Threshold]],J46&gt;0),J47-J46,"")</f>
        <v/>
      </c>
    </row>
    <row r="48" spans="1:11" x14ac:dyDescent="0.45">
      <c r="A48" s="1" t="s">
        <v>533</v>
      </c>
      <c r="B48" s="1">
        <f t="shared" si="16"/>
        <v>6</v>
      </c>
      <c r="C48" s="1">
        <f t="shared" si="17"/>
        <v>14</v>
      </c>
      <c r="D48" s="1">
        <f t="shared" si="18"/>
        <v>19</v>
      </c>
      <c r="E48" s="1">
        <f t="shared" si="19"/>
        <v>21</v>
      </c>
      <c r="F48" s="3">
        <f t="shared" si="20"/>
        <v>195.5</v>
      </c>
      <c r="G48" s="4">
        <f t="shared" si="21"/>
        <v>1.22</v>
      </c>
      <c r="H48" s="3" t="e">
        <f t="shared" si="22"/>
        <v>#VALUE!</v>
      </c>
      <c r="I48" s="1" t="b">
        <f t="shared" si="23"/>
        <v>0</v>
      </c>
      <c r="J48" s="1">
        <f>IF(Table1[[#This Row],[Rising Through Threshold]],Table1[[#This Row],[Start time]],J47)</f>
        <v>165.75</v>
      </c>
      <c r="K48" s="1" t="str">
        <f>IF(AND(Table1[[#This Row],[Rising Through Threshold]],J47&gt;0),J48-J47,"")</f>
        <v/>
      </c>
    </row>
    <row r="49" spans="1:11" x14ac:dyDescent="0.45">
      <c r="A49" s="1" t="s">
        <v>534</v>
      </c>
      <c r="B49" s="1">
        <f t="shared" si="16"/>
        <v>6</v>
      </c>
      <c r="C49" s="1">
        <f t="shared" si="17"/>
        <v>14</v>
      </c>
      <c r="D49" s="1">
        <f t="shared" si="18"/>
        <v>19</v>
      </c>
      <c r="E49" s="1">
        <f t="shared" si="19"/>
        <v>21</v>
      </c>
      <c r="F49" s="3">
        <f t="shared" si="20"/>
        <v>199.75</v>
      </c>
      <c r="G49" s="4">
        <f t="shared" si="21"/>
        <v>0.27</v>
      </c>
      <c r="H49" s="3" t="e">
        <f t="shared" si="22"/>
        <v>#VALUE!</v>
      </c>
      <c r="I49" s="1" t="b">
        <f t="shared" si="23"/>
        <v>0</v>
      </c>
      <c r="J49" s="1">
        <f>IF(Table1[[#This Row],[Rising Through Threshold]],Table1[[#This Row],[Start time]],J48)</f>
        <v>165.75</v>
      </c>
      <c r="K49" s="1" t="str">
        <f>IF(AND(Table1[[#This Row],[Rising Through Threshold]],J48&gt;0),J49-J48,"")</f>
        <v/>
      </c>
    </row>
    <row r="50" spans="1:11" x14ac:dyDescent="0.45">
      <c r="A50" s="1" t="s">
        <v>535</v>
      </c>
      <c r="B50" s="1">
        <f t="shared" si="16"/>
        <v>6</v>
      </c>
      <c r="C50" s="1">
        <f t="shared" si="17"/>
        <v>12</v>
      </c>
      <c r="D50" s="1">
        <f t="shared" si="18"/>
        <v>17</v>
      </c>
      <c r="E50" s="1">
        <f t="shared" si="19"/>
        <v>19</v>
      </c>
      <c r="F50" s="3">
        <f t="shared" si="20"/>
        <v>204</v>
      </c>
      <c r="G50" s="4">
        <f t="shared" si="21"/>
        <v>0</v>
      </c>
      <c r="H50" s="3" t="e">
        <f t="shared" si="22"/>
        <v>#VALUE!</v>
      </c>
      <c r="I50" s="1" t="b">
        <f t="shared" si="23"/>
        <v>0</v>
      </c>
      <c r="J50" s="1">
        <f>IF(Table1[[#This Row],[Rising Through Threshold]],Table1[[#This Row],[Start time]],J49)</f>
        <v>165.75</v>
      </c>
      <c r="K50" s="1" t="str">
        <f>IF(AND(Table1[[#This Row],[Rising Through Threshold]],J49&gt;0),J50-J49,"")</f>
        <v/>
      </c>
    </row>
    <row r="51" spans="1:11" x14ac:dyDescent="0.45">
      <c r="A51" s="1" t="s">
        <v>536</v>
      </c>
      <c r="B51" s="1">
        <f t="shared" si="16"/>
        <v>6</v>
      </c>
      <c r="C51" s="1">
        <f t="shared" si="17"/>
        <v>14</v>
      </c>
      <c r="D51" s="1">
        <f t="shared" si="18"/>
        <v>19</v>
      </c>
      <c r="E51" s="1">
        <f t="shared" si="19"/>
        <v>21</v>
      </c>
      <c r="F51" s="3">
        <f t="shared" si="20"/>
        <v>208.25</v>
      </c>
      <c r="G51" s="4">
        <f t="shared" si="21"/>
        <v>0.45</v>
      </c>
      <c r="H51" s="3" t="e">
        <f t="shared" si="22"/>
        <v>#VALUE!</v>
      </c>
      <c r="I51" s="1" t="b">
        <f t="shared" si="23"/>
        <v>0</v>
      </c>
      <c r="J51" s="1">
        <f>IF(Table1[[#This Row],[Rising Through Threshold]],Table1[[#This Row],[Start time]],J50)</f>
        <v>165.75</v>
      </c>
      <c r="K51" s="1" t="str">
        <f>IF(AND(Table1[[#This Row],[Rising Through Threshold]],J50&gt;0),J51-J50,"")</f>
        <v/>
      </c>
    </row>
    <row r="52" spans="1:11" x14ac:dyDescent="0.45">
      <c r="A52" s="1" t="s">
        <v>537</v>
      </c>
      <c r="B52" s="1">
        <f t="shared" si="16"/>
        <v>6</v>
      </c>
      <c r="C52" s="1">
        <f t="shared" si="17"/>
        <v>14</v>
      </c>
      <c r="D52" s="1">
        <f t="shared" si="18"/>
        <v>19</v>
      </c>
      <c r="E52" s="1">
        <f t="shared" si="19"/>
        <v>21</v>
      </c>
      <c r="F52" s="3">
        <f t="shared" si="20"/>
        <v>212.5</v>
      </c>
      <c r="G52" s="4">
        <f t="shared" si="21"/>
        <v>1.1000000000000001</v>
      </c>
      <c r="H52" s="3" t="e">
        <f t="shared" si="22"/>
        <v>#VALUE!</v>
      </c>
      <c r="I52" s="1" t="b">
        <f t="shared" si="23"/>
        <v>0</v>
      </c>
      <c r="J52" s="1">
        <f>IF(Table1[[#This Row],[Rising Through Threshold]],Table1[[#This Row],[Start time]],J51)</f>
        <v>165.75</v>
      </c>
      <c r="K52" s="1" t="str">
        <f>IF(AND(Table1[[#This Row],[Rising Through Threshold]],J51&gt;0),J52-J51,"")</f>
        <v/>
      </c>
    </row>
    <row r="53" spans="1:11" x14ac:dyDescent="0.45">
      <c r="A53" s="1" t="s">
        <v>467</v>
      </c>
      <c r="B53" s="1">
        <f t="shared" si="16"/>
        <v>6</v>
      </c>
      <c r="C53" s="1">
        <f t="shared" si="17"/>
        <v>14</v>
      </c>
      <c r="D53" s="1">
        <f t="shared" si="18"/>
        <v>19</v>
      </c>
      <c r="E53" s="1">
        <f t="shared" si="19"/>
        <v>21</v>
      </c>
      <c r="F53" s="3">
        <f t="shared" si="20"/>
        <v>216.75</v>
      </c>
      <c r="G53" s="4">
        <f t="shared" si="21"/>
        <v>1.88</v>
      </c>
      <c r="H53" s="3" t="e">
        <f t="shared" si="22"/>
        <v>#VALUE!</v>
      </c>
      <c r="I53" s="1" t="b">
        <f t="shared" si="23"/>
        <v>0</v>
      </c>
      <c r="J53" s="1">
        <f>IF(Table1[[#This Row],[Rising Through Threshold]],Table1[[#This Row],[Start time]],J52)</f>
        <v>165.75</v>
      </c>
      <c r="K53" s="1" t="str">
        <f>IF(AND(Table1[[#This Row],[Rising Through Threshold]],J52&gt;0),J53-J52,"")</f>
        <v/>
      </c>
    </row>
    <row r="54" spans="1:11" x14ac:dyDescent="0.45">
      <c r="A54" s="1" t="s">
        <v>538</v>
      </c>
      <c r="B54" s="1">
        <f t="shared" si="16"/>
        <v>6</v>
      </c>
      <c r="C54" s="1">
        <f t="shared" si="17"/>
        <v>12</v>
      </c>
      <c r="D54" s="1">
        <f t="shared" si="18"/>
        <v>17</v>
      </c>
      <c r="E54" s="1">
        <f t="shared" si="19"/>
        <v>19</v>
      </c>
      <c r="F54" s="3">
        <f t="shared" si="20"/>
        <v>221</v>
      </c>
      <c r="G54" s="4">
        <f t="shared" si="21"/>
        <v>2.63</v>
      </c>
      <c r="H54" s="3" t="e">
        <f t="shared" si="22"/>
        <v>#VALUE!</v>
      </c>
      <c r="I54" s="1" t="b">
        <f t="shared" si="23"/>
        <v>1</v>
      </c>
      <c r="J54" s="1">
        <f>IF(Table1[[#This Row],[Rising Through Threshold]],Table1[[#This Row],[Start time]],J53)</f>
        <v>221</v>
      </c>
      <c r="K54" s="1">
        <f>IF(AND(Table1[[#This Row],[Rising Through Threshold]],J53&gt;0),J54-J53,"")</f>
        <v>55.25</v>
      </c>
    </row>
    <row r="55" spans="1:11" x14ac:dyDescent="0.45">
      <c r="A55" s="1" t="s">
        <v>539</v>
      </c>
      <c r="B55" s="1">
        <f t="shared" si="16"/>
        <v>6</v>
      </c>
      <c r="C55" s="1">
        <f t="shared" si="17"/>
        <v>14</v>
      </c>
      <c r="D55" s="1">
        <f t="shared" si="18"/>
        <v>19</v>
      </c>
      <c r="E55" s="1">
        <f t="shared" si="19"/>
        <v>21</v>
      </c>
      <c r="F55" s="3">
        <f t="shared" si="20"/>
        <v>225.25</v>
      </c>
      <c r="G55" s="4">
        <f t="shared" si="21"/>
        <v>3.76</v>
      </c>
      <c r="H55" s="3" t="e">
        <f t="shared" si="22"/>
        <v>#VALUE!</v>
      </c>
      <c r="I55" s="1" t="b">
        <f t="shared" si="23"/>
        <v>0</v>
      </c>
      <c r="J55" s="1">
        <f>IF(Table1[[#This Row],[Rising Through Threshold]],Table1[[#This Row],[Start time]],J54)</f>
        <v>221</v>
      </c>
      <c r="K55" s="1" t="str">
        <f>IF(AND(Table1[[#This Row],[Rising Through Threshold]],J54&gt;0),J55-J54,"")</f>
        <v/>
      </c>
    </row>
    <row r="56" spans="1:11" x14ac:dyDescent="0.45">
      <c r="A56" s="1" t="s">
        <v>540</v>
      </c>
      <c r="B56" s="1">
        <f t="shared" si="16"/>
        <v>6</v>
      </c>
      <c r="C56" s="1">
        <f t="shared" si="17"/>
        <v>14</v>
      </c>
      <c r="D56" s="1">
        <f t="shared" si="18"/>
        <v>19</v>
      </c>
      <c r="E56" s="1">
        <f t="shared" si="19"/>
        <v>21</v>
      </c>
      <c r="F56" s="3">
        <f t="shared" si="20"/>
        <v>229.5</v>
      </c>
      <c r="G56" s="4">
        <f t="shared" si="21"/>
        <v>4.57</v>
      </c>
      <c r="H56" s="3" t="e">
        <f t="shared" si="22"/>
        <v>#VALUE!</v>
      </c>
      <c r="I56" s="1" t="b">
        <f t="shared" si="23"/>
        <v>0</v>
      </c>
      <c r="J56" s="1">
        <f>IF(Table1[[#This Row],[Rising Through Threshold]],Table1[[#This Row],[Start time]],J55)</f>
        <v>221</v>
      </c>
      <c r="K56" s="1" t="str">
        <f>IF(AND(Table1[[#This Row],[Rising Through Threshold]],J55&gt;0),J56-J55,"")</f>
        <v/>
      </c>
    </row>
    <row r="57" spans="1:11" x14ac:dyDescent="0.45">
      <c r="A57" s="1" t="s">
        <v>541</v>
      </c>
      <c r="B57" s="1">
        <f t="shared" ref="B57:B120" si="24">FIND(":",$A57,1)</f>
        <v>6</v>
      </c>
      <c r="C57" s="1">
        <f t="shared" ref="C57:C120" si="25">FIND(":",$A57,B57+1)</f>
        <v>14</v>
      </c>
      <c r="D57" s="1">
        <f t="shared" ref="D57:D120" si="26">FIND(":",$A57,C57+1)</f>
        <v>19</v>
      </c>
      <c r="E57" s="1">
        <f t="shared" ref="E57:E120" si="27">FIND(":",$A57,D57+1)</f>
        <v>21</v>
      </c>
      <c r="F57" s="3">
        <f t="shared" ref="F57:F120" si="28">_xlfn.NUMBERVALUE(MID($A57,B57+1,C57-B57-1))</f>
        <v>233.75</v>
      </c>
      <c r="G57" s="4">
        <f t="shared" ref="G57:G120" si="29">_xlfn.NUMBERVALUE(MID($A57,C57+1,D57-C57-1))</f>
        <v>5</v>
      </c>
      <c r="H57" s="3" t="e">
        <f t="shared" ref="H57:H120" si="30">_xlfn.NUMBERVALUE(MID($A57,E57+1,1000))</f>
        <v>#VALUE!</v>
      </c>
      <c r="I57" s="1" t="b">
        <f t="shared" si="23"/>
        <v>0</v>
      </c>
      <c r="J57" s="1">
        <f>IF(Table1[[#This Row],[Rising Through Threshold]],Table1[[#This Row],[Start time]],J56)</f>
        <v>221</v>
      </c>
      <c r="K57" s="1" t="str">
        <f>IF(AND(Table1[[#This Row],[Rising Through Threshold]],J56&gt;0),J57-J56,"")</f>
        <v/>
      </c>
    </row>
    <row r="58" spans="1:11" x14ac:dyDescent="0.45">
      <c r="A58" s="1" t="s">
        <v>542</v>
      </c>
      <c r="B58" s="1">
        <f t="shared" si="24"/>
        <v>6</v>
      </c>
      <c r="C58" s="1">
        <f t="shared" si="25"/>
        <v>12</v>
      </c>
      <c r="D58" s="1">
        <f t="shared" si="26"/>
        <v>17</v>
      </c>
      <c r="E58" s="1">
        <f t="shared" si="27"/>
        <v>19</v>
      </c>
      <c r="F58" s="3">
        <f t="shared" si="28"/>
        <v>238</v>
      </c>
      <c r="G58" s="4">
        <f t="shared" si="29"/>
        <v>4.0599999999999996</v>
      </c>
      <c r="H58" s="3" t="e">
        <f t="shared" si="30"/>
        <v>#VALUE!</v>
      </c>
      <c r="I58" s="1" t="b">
        <f t="shared" si="23"/>
        <v>0</v>
      </c>
      <c r="J58" s="1">
        <f>IF(Table1[[#This Row],[Rising Through Threshold]],Table1[[#This Row],[Start time]],J57)</f>
        <v>221</v>
      </c>
      <c r="K58" s="1" t="str">
        <f>IF(AND(Table1[[#This Row],[Rising Through Threshold]],J57&gt;0),J58-J57,"")</f>
        <v/>
      </c>
    </row>
    <row r="59" spans="1:11" x14ac:dyDescent="0.45">
      <c r="A59" s="1" t="s">
        <v>543</v>
      </c>
      <c r="B59" s="1">
        <f t="shared" si="24"/>
        <v>6</v>
      </c>
      <c r="C59" s="1">
        <f t="shared" si="25"/>
        <v>14</v>
      </c>
      <c r="D59" s="1">
        <f t="shared" si="26"/>
        <v>19</v>
      </c>
      <c r="E59" s="1">
        <f t="shared" si="27"/>
        <v>21</v>
      </c>
      <c r="F59" s="3">
        <f t="shared" si="28"/>
        <v>242.25</v>
      </c>
      <c r="G59" s="4">
        <f t="shared" si="29"/>
        <v>3.12</v>
      </c>
      <c r="H59" s="3" t="e">
        <f t="shared" si="30"/>
        <v>#VALUE!</v>
      </c>
      <c r="I59" s="1" t="b">
        <f t="shared" si="23"/>
        <v>0</v>
      </c>
      <c r="J59" s="1">
        <f>IF(Table1[[#This Row],[Rising Through Threshold]],Table1[[#This Row],[Start time]],J58)</f>
        <v>221</v>
      </c>
      <c r="K59" s="1" t="str">
        <f>IF(AND(Table1[[#This Row],[Rising Through Threshold]],J58&gt;0),J59-J58,"")</f>
        <v/>
      </c>
    </row>
    <row r="60" spans="1:11" x14ac:dyDescent="0.45">
      <c r="A60" s="1" t="s">
        <v>466</v>
      </c>
      <c r="B60" s="1">
        <f t="shared" si="24"/>
        <v>6</v>
      </c>
      <c r="C60" s="1">
        <f t="shared" si="25"/>
        <v>14</v>
      </c>
      <c r="D60" s="1">
        <f t="shared" si="26"/>
        <v>19</v>
      </c>
      <c r="E60" s="1">
        <f t="shared" si="27"/>
        <v>21</v>
      </c>
      <c r="F60" s="3">
        <f t="shared" si="28"/>
        <v>246.5</v>
      </c>
      <c r="G60" s="4">
        <f t="shared" si="29"/>
        <v>2.2000000000000002</v>
      </c>
      <c r="H60" s="3" t="e">
        <f t="shared" si="30"/>
        <v>#VALUE!</v>
      </c>
      <c r="I60" s="1" t="b">
        <f t="shared" si="23"/>
        <v>0</v>
      </c>
      <c r="J60" s="1">
        <f>IF(Table1[[#This Row],[Rising Through Threshold]],Table1[[#This Row],[Start time]],J59)</f>
        <v>221</v>
      </c>
      <c r="K60" s="1" t="str">
        <f>IF(AND(Table1[[#This Row],[Rising Through Threshold]],J59&gt;0),J60-J59,"")</f>
        <v/>
      </c>
    </row>
    <row r="61" spans="1:11" x14ac:dyDescent="0.45">
      <c r="A61" s="1" t="s">
        <v>544</v>
      </c>
      <c r="B61" s="1">
        <f t="shared" si="24"/>
        <v>6</v>
      </c>
      <c r="C61" s="1">
        <f t="shared" si="25"/>
        <v>14</v>
      </c>
      <c r="D61" s="1">
        <f t="shared" si="26"/>
        <v>19</v>
      </c>
      <c r="E61" s="1">
        <f t="shared" si="27"/>
        <v>21</v>
      </c>
      <c r="F61" s="3">
        <f t="shared" si="28"/>
        <v>250.75</v>
      </c>
      <c r="G61" s="4">
        <f t="shared" si="29"/>
        <v>0.28999999999999998</v>
      </c>
      <c r="H61" s="3" t="e">
        <f t="shared" si="30"/>
        <v>#VALUE!</v>
      </c>
      <c r="I61" s="1" t="b">
        <f t="shared" si="23"/>
        <v>0</v>
      </c>
      <c r="J61" s="1">
        <f>IF(Table1[[#This Row],[Rising Through Threshold]],Table1[[#This Row],[Start time]],J60)</f>
        <v>221</v>
      </c>
      <c r="K61" s="1" t="str">
        <f>IF(AND(Table1[[#This Row],[Rising Through Threshold]],J60&gt;0),J61-J60,"")</f>
        <v/>
      </c>
    </row>
    <row r="62" spans="1:11" x14ac:dyDescent="0.45">
      <c r="A62" s="1" t="s">
        <v>470</v>
      </c>
      <c r="B62" s="1">
        <f t="shared" si="24"/>
        <v>6</v>
      </c>
      <c r="C62" s="1">
        <f t="shared" si="25"/>
        <v>12</v>
      </c>
      <c r="D62" s="1">
        <f t="shared" si="26"/>
        <v>17</v>
      </c>
      <c r="E62" s="1">
        <f t="shared" si="27"/>
        <v>19</v>
      </c>
      <c r="F62" s="3">
        <f t="shared" si="28"/>
        <v>255</v>
      </c>
      <c r="G62" s="4">
        <f t="shared" si="29"/>
        <v>0</v>
      </c>
      <c r="H62" s="3" t="e">
        <f t="shared" si="30"/>
        <v>#VALUE!</v>
      </c>
      <c r="I62" s="1" t="b">
        <f t="shared" si="23"/>
        <v>0</v>
      </c>
      <c r="J62" s="1">
        <f>IF(Table1[[#This Row],[Rising Through Threshold]],Table1[[#This Row],[Start time]],J61)</f>
        <v>221</v>
      </c>
      <c r="K62" s="1" t="str">
        <f>IF(AND(Table1[[#This Row],[Rising Through Threshold]],J61&gt;0),J62-J61,"")</f>
        <v/>
      </c>
    </row>
    <row r="63" spans="1:11" x14ac:dyDescent="0.45">
      <c r="A63" s="1" t="s">
        <v>471</v>
      </c>
      <c r="B63" s="1">
        <f t="shared" si="24"/>
        <v>6</v>
      </c>
      <c r="C63" s="1">
        <f t="shared" si="25"/>
        <v>14</v>
      </c>
      <c r="D63" s="1">
        <f t="shared" si="26"/>
        <v>19</v>
      </c>
      <c r="E63" s="1">
        <f t="shared" si="27"/>
        <v>21</v>
      </c>
      <c r="F63" s="3">
        <f t="shared" si="28"/>
        <v>259.25</v>
      </c>
      <c r="G63" s="4">
        <f t="shared" si="29"/>
        <v>0</v>
      </c>
      <c r="H63" s="3" t="e">
        <f t="shared" si="30"/>
        <v>#VALUE!</v>
      </c>
      <c r="I63" s="1" t="b">
        <f t="shared" si="23"/>
        <v>0</v>
      </c>
      <c r="J63" s="1">
        <f>IF(Table1[[#This Row],[Rising Through Threshold]],Table1[[#This Row],[Start time]],J62)</f>
        <v>221</v>
      </c>
      <c r="K63" s="1" t="str">
        <f>IF(AND(Table1[[#This Row],[Rising Through Threshold]],J62&gt;0),J63-J62,"")</f>
        <v/>
      </c>
    </row>
    <row r="64" spans="1:11" x14ac:dyDescent="0.45">
      <c r="A64" s="1" t="s">
        <v>545</v>
      </c>
      <c r="B64" s="1">
        <f t="shared" si="24"/>
        <v>6</v>
      </c>
      <c r="C64" s="1">
        <f t="shared" si="25"/>
        <v>14</v>
      </c>
      <c r="D64" s="1">
        <f t="shared" si="26"/>
        <v>19</v>
      </c>
      <c r="E64" s="1">
        <f t="shared" si="27"/>
        <v>21</v>
      </c>
      <c r="F64" s="3">
        <f t="shared" si="28"/>
        <v>263.5</v>
      </c>
      <c r="G64" s="4">
        <f t="shared" si="29"/>
        <v>0.43</v>
      </c>
      <c r="H64" s="3" t="e">
        <f t="shared" si="30"/>
        <v>#VALUE!</v>
      </c>
      <c r="I64" s="1" t="b">
        <f t="shared" si="23"/>
        <v>0</v>
      </c>
      <c r="J64" s="1">
        <f>IF(Table1[[#This Row],[Rising Through Threshold]],Table1[[#This Row],[Start time]],J63)</f>
        <v>221</v>
      </c>
      <c r="K64" s="1" t="str">
        <f>IF(AND(Table1[[#This Row],[Rising Through Threshold]],J63&gt;0),J64-J63,"")</f>
        <v/>
      </c>
    </row>
    <row r="65" spans="1:11" x14ac:dyDescent="0.45">
      <c r="A65" s="1" t="s">
        <v>546</v>
      </c>
      <c r="B65" s="1">
        <f t="shared" si="24"/>
        <v>6</v>
      </c>
      <c r="C65" s="1">
        <f t="shared" si="25"/>
        <v>14</v>
      </c>
      <c r="D65" s="1">
        <f t="shared" si="26"/>
        <v>19</v>
      </c>
      <c r="E65" s="1">
        <f t="shared" si="27"/>
        <v>21</v>
      </c>
      <c r="F65" s="3">
        <f t="shared" si="28"/>
        <v>267.75</v>
      </c>
      <c r="G65" s="4">
        <f t="shared" si="29"/>
        <v>1.88</v>
      </c>
      <c r="H65" s="3" t="e">
        <f t="shared" si="30"/>
        <v>#VALUE!</v>
      </c>
      <c r="I65" s="1" t="b">
        <f t="shared" si="23"/>
        <v>0</v>
      </c>
      <c r="J65" s="1">
        <f>IF(Table1[[#This Row],[Rising Through Threshold]],Table1[[#This Row],[Start time]],J64)</f>
        <v>221</v>
      </c>
      <c r="K65" s="1" t="str">
        <f>IF(AND(Table1[[#This Row],[Rising Through Threshold]],J64&gt;0),J65-J64,"")</f>
        <v/>
      </c>
    </row>
    <row r="66" spans="1:11" x14ac:dyDescent="0.45">
      <c r="A66" s="1" t="s">
        <v>547</v>
      </c>
      <c r="B66" s="1">
        <f t="shared" si="24"/>
        <v>6</v>
      </c>
      <c r="C66" s="1">
        <f t="shared" si="25"/>
        <v>12</v>
      </c>
      <c r="D66" s="1">
        <f t="shared" si="26"/>
        <v>17</v>
      </c>
      <c r="E66" s="1">
        <f t="shared" si="27"/>
        <v>19</v>
      </c>
      <c r="F66" s="3">
        <f t="shared" si="28"/>
        <v>272</v>
      </c>
      <c r="G66" s="4">
        <f t="shared" si="29"/>
        <v>2.57</v>
      </c>
      <c r="H66" s="3" t="e">
        <f t="shared" si="30"/>
        <v>#VALUE!</v>
      </c>
      <c r="I66" s="1" t="b">
        <f t="shared" si="23"/>
        <v>1</v>
      </c>
      <c r="J66" s="1">
        <f>IF(Table1[[#This Row],[Rising Through Threshold]],Table1[[#This Row],[Start time]],J65)</f>
        <v>272</v>
      </c>
      <c r="K66" s="1">
        <f>IF(AND(Table1[[#This Row],[Rising Through Threshold]],J65&gt;0),J66-J65,"")</f>
        <v>51</v>
      </c>
    </row>
    <row r="67" spans="1:11" x14ac:dyDescent="0.45">
      <c r="A67" s="1" t="s">
        <v>548</v>
      </c>
      <c r="B67" s="1">
        <f t="shared" si="24"/>
        <v>6</v>
      </c>
      <c r="C67" s="1">
        <f t="shared" si="25"/>
        <v>14</v>
      </c>
      <c r="D67" s="1">
        <f t="shared" si="26"/>
        <v>19</v>
      </c>
      <c r="E67" s="1">
        <f t="shared" si="27"/>
        <v>21</v>
      </c>
      <c r="F67" s="3">
        <f t="shared" si="28"/>
        <v>276.25</v>
      </c>
      <c r="G67" s="4">
        <f t="shared" si="29"/>
        <v>3.2</v>
      </c>
      <c r="H67" s="3" t="e">
        <f t="shared" si="30"/>
        <v>#VALUE!</v>
      </c>
      <c r="I67" s="1" t="b">
        <f t="shared" si="23"/>
        <v>0</v>
      </c>
      <c r="J67" s="1">
        <f>IF(Table1[[#This Row],[Rising Through Threshold]],Table1[[#This Row],[Start time]],J66)</f>
        <v>272</v>
      </c>
      <c r="K67" s="1" t="str">
        <f>IF(AND(Table1[[#This Row],[Rising Through Threshold]],J66&gt;0),J67-J66,"")</f>
        <v/>
      </c>
    </row>
    <row r="68" spans="1:11" x14ac:dyDescent="0.45">
      <c r="A68" s="1" t="s">
        <v>549</v>
      </c>
      <c r="B68" s="1">
        <f t="shared" si="24"/>
        <v>6</v>
      </c>
      <c r="C68" s="1">
        <f t="shared" si="25"/>
        <v>14</v>
      </c>
      <c r="D68" s="1">
        <f t="shared" si="26"/>
        <v>19</v>
      </c>
      <c r="E68" s="1">
        <f t="shared" si="27"/>
        <v>21</v>
      </c>
      <c r="F68" s="3">
        <f t="shared" si="28"/>
        <v>280.5</v>
      </c>
      <c r="G68" s="4">
        <f t="shared" si="29"/>
        <v>4.53</v>
      </c>
      <c r="H68" s="3" t="e">
        <f t="shared" si="30"/>
        <v>#VALUE!</v>
      </c>
      <c r="I68" s="1" t="b">
        <f t="shared" si="23"/>
        <v>0</v>
      </c>
      <c r="J68" s="1">
        <f>IF(Table1[[#This Row],[Rising Through Threshold]],Table1[[#This Row],[Start time]],J67)</f>
        <v>272</v>
      </c>
      <c r="K68" s="1" t="str">
        <f>IF(AND(Table1[[#This Row],[Rising Through Threshold]],J67&gt;0),J68-J67,"")</f>
        <v/>
      </c>
    </row>
    <row r="69" spans="1:11" x14ac:dyDescent="0.45">
      <c r="A69" s="1" t="s">
        <v>550</v>
      </c>
      <c r="B69" s="1">
        <f t="shared" si="24"/>
        <v>6</v>
      </c>
      <c r="C69" s="1">
        <f t="shared" si="25"/>
        <v>14</v>
      </c>
      <c r="D69" s="1">
        <f t="shared" si="26"/>
        <v>19</v>
      </c>
      <c r="E69" s="1">
        <f t="shared" si="27"/>
        <v>21</v>
      </c>
      <c r="F69" s="3">
        <f t="shared" si="28"/>
        <v>284.75</v>
      </c>
      <c r="G69" s="4">
        <f t="shared" si="29"/>
        <v>5</v>
      </c>
      <c r="H69" s="3" t="e">
        <f t="shared" si="30"/>
        <v>#VALUE!</v>
      </c>
      <c r="I69" s="1" t="b">
        <f t="shared" si="23"/>
        <v>0</v>
      </c>
      <c r="J69" s="1">
        <f>IF(Table1[[#This Row],[Rising Through Threshold]],Table1[[#This Row],[Start time]],J68)</f>
        <v>272</v>
      </c>
      <c r="K69" s="1" t="str">
        <f>IF(AND(Table1[[#This Row],[Rising Through Threshold]],J68&gt;0),J69-J68,"")</f>
        <v/>
      </c>
    </row>
    <row r="70" spans="1:11" x14ac:dyDescent="0.45">
      <c r="A70" s="1" t="s">
        <v>551</v>
      </c>
      <c r="B70" s="1">
        <f t="shared" si="24"/>
        <v>6</v>
      </c>
      <c r="C70" s="1">
        <f t="shared" si="25"/>
        <v>12</v>
      </c>
      <c r="D70" s="1">
        <f t="shared" si="26"/>
        <v>17</v>
      </c>
      <c r="E70" s="1">
        <f t="shared" si="27"/>
        <v>19</v>
      </c>
      <c r="F70" s="3">
        <f t="shared" si="28"/>
        <v>289</v>
      </c>
      <c r="G70" s="4">
        <f t="shared" si="29"/>
        <v>4.9800000000000004</v>
      </c>
      <c r="H70" s="3" t="e">
        <f t="shared" si="30"/>
        <v>#VALUE!</v>
      </c>
      <c r="I70" s="1" t="b">
        <f t="shared" si="23"/>
        <v>0</v>
      </c>
      <c r="J70" s="1">
        <f>IF(Table1[[#This Row],[Rising Through Threshold]],Table1[[#This Row],[Start time]],J69)</f>
        <v>272</v>
      </c>
      <c r="K70" s="1" t="str">
        <f>IF(AND(Table1[[#This Row],[Rising Through Threshold]],J69&gt;0),J70-J69,"")</f>
        <v/>
      </c>
    </row>
    <row r="71" spans="1:11" x14ac:dyDescent="0.45">
      <c r="A71" s="1" t="s">
        <v>552</v>
      </c>
      <c r="B71" s="1">
        <f t="shared" si="24"/>
        <v>6</v>
      </c>
      <c r="C71" s="1">
        <f t="shared" si="25"/>
        <v>14</v>
      </c>
      <c r="D71" s="1">
        <f t="shared" si="26"/>
        <v>19</v>
      </c>
      <c r="E71" s="1">
        <f t="shared" si="27"/>
        <v>21</v>
      </c>
      <c r="F71" s="3">
        <f t="shared" si="28"/>
        <v>293.25</v>
      </c>
      <c r="G71" s="4">
        <f t="shared" si="29"/>
        <v>4.0599999999999996</v>
      </c>
      <c r="H71" s="3" t="e">
        <f t="shared" si="30"/>
        <v>#VALUE!</v>
      </c>
      <c r="I71" s="1" t="b">
        <f t="shared" si="23"/>
        <v>0</v>
      </c>
      <c r="J71" s="1">
        <f>IF(Table1[[#This Row],[Rising Through Threshold]],Table1[[#This Row],[Start time]],J70)</f>
        <v>272</v>
      </c>
      <c r="K71" s="1" t="str">
        <f>IF(AND(Table1[[#This Row],[Rising Through Threshold]],J70&gt;0),J71-J70,"")</f>
        <v/>
      </c>
    </row>
    <row r="72" spans="1:11" x14ac:dyDescent="0.45">
      <c r="A72" s="1" t="s">
        <v>553</v>
      </c>
      <c r="B72" s="1">
        <f t="shared" si="24"/>
        <v>6</v>
      </c>
      <c r="C72" s="1">
        <f t="shared" si="25"/>
        <v>14</v>
      </c>
      <c r="D72" s="1">
        <f t="shared" si="26"/>
        <v>19</v>
      </c>
      <c r="E72" s="1">
        <f t="shared" si="27"/>
        <v>21</v>
      </c>
      <c r="F72" s="3">
        <f t="shared" si="28"/>
        <v>297.5</v>
      </c>
      <c r="G72" s="4">
        <f t="shared" si="29"/>
        <v>2.2000000000000002</v>
      </c>
      <c r="H72" s="3" t="e">
        <f t="shared" si="30"/>
        <v>#VALUE!</v>
      </c>
      <c r="I72" s="1" t="b">
        <f t="shared" si="23"/>
        <v>0</v>
      </c>
      <c r="J72" s="1">
        <f>IF(Table1[[#This Row],[Rising Through Threshold]],Table1[[#This Row],[Start time]],J71)</f>
        <v>272</v>
      </c>
      <c r="K72" s="1" t="str">
        <f>IF(AND(Table1[[#This Row],[Rising Through Threshold]],J71&gt;0),J72-J71,"")</f>
        <v/>
      </c>
    </row>
    <row r="73" spans="1:11" x14ac:dyDescent="0.45">
      <c r="A73" s="1" t="s">
        <v>468</v>
      </c>
      <c r="B73" s="1">
        <f t="shared" si="24"/>
        <v>6</v>
      </c>
      <c r="C73" s="1">
        <f t="shared" si="25"/>
        <v>14</v>
      </c>
      <c r="D73" s="1">
        <f t="shared" si="26"/>
        <v>19</v>
      </c>
      <c r="E73" s="1">
        <f t="shared" si="27"/>
        <v>21</v>
      </c>
      <c r="F73" s="3">
        <f t="shared" si="28"/>
        <v>301.75</v>
      </c>
      <c r="G73" s="4">
        <f t="shared" si="29"/>
        <v>1.24</v>
      </c>
      <c r="H73" s="3" t="e">
        <f t="shared" si="30"/>
        <v>#VALUE!</v>
      </c>
      <c r="I73" s="1" t="b">
        <f t="shared" si="23"/>
        <v>0</v>
      </c>
      <c r="J73" s="1">
        <f>IF(Table1[[#This Row],[Rising Through Threshold]],Table1[[#This Row],[Start time]],J72)</f>
        <v>272</v>
      </c>
      <c r="K73" s="1" t="str">
        <f>IF(AND(Table1[[#This Row],[Rising Through Threshold]],J72&gt;0),J73-J72,"")</f>
        <v/>
      </c>
    </row>
    <row r="74" spans="1:11" x14ac:dyDescent="0.45">
      <c r="A74" s="1" t="s">
        <v>554</v>
      </c>
      <c r="B74" s="1">
        <f t="shared" si="24"/>
        <v>6</v>
      </c>
      <c r="C74" s="1">
        <f t="shared" si="25"/>
        <v>12</v>
      </c>
      <c r="D74" s="1">
        <f t="shared" si="26"/>
        <v>17</v>
      </c>
      <c r="E74" s="1">
        <f t="shared" si="27"/>
        <v>19</v>
      </c>
      <c r="F74" s="3">
        <f t="shared" si="28"/>
        <v>306</v>
      </c>
      <c r="G74" s="4">
        <f t="shared" si="29"/>
        <v>0.28999999999999998</v>
      </c>
      <c r="H74" s="3" t="e">
        <f t="shared" si="30"/>
        <v>#VALUE!</v>
      </c>
      <c r="I74" s="1" t="b">
        <f t="shared" si="23"/>
        <v>0</v>
      </c>
      <c r="J74" s="1">
        <f>IF(Table1[[#This Row],[Rising Through Threshold]],Table1[[#This Row],[Start time]],J73)</f>
        <v>272</v>
      </c>
      <c r="K74" s="1" t="str">
        <f>IF(AND(Table1[[#This Row],[Rising Through Threshold]],J73&gt;0),J74-J73,"")</f>
        <v/>
      </c>
    </row>
    <row r="75" spans="1:11" x14ac:dyDescent="0.45">
      <c r="A75" s="1" t="s">
        <v>555</v>
      </c>
      <c r="B75" s="1">
        <f t="shared" si="24"/>
        <v>6</v>
      </c>
      <c r="C75" s="1">
        <f t="shared" si="25"/>
        <v>14</v>
      </c>
      <c r="D75" s="1">
        <f t="shared" si="26"/>
        <v>19</v>
      </c>
      <c r="E75" s="1">
        <f t="shared" si="27"/>
        <v>21</v>
      </c>
      <c r="F75" s="3">
        <f t="shared" si="28"/>
        <v>310.25</v>
      </c>
      <c r="G75" s="4">
        <f t="shared" si="29"/>
        <v>0</v>
      </c>
      <c r="H75" s="3" t="e">
        <f t="shared" si="30"/>
        <v>#VALUE!</v>
      </c>
      <c r="I75" s="1" t="b">
        <f t="shared" si="23"/>
        <v>0</v>
      </c>
      <c r="J75" s="1">
        <f>IF(Table1[[#This Row],[Rising Through Threshold]],Table1[[#This Row],[Start time]],J74)</f>
        <v>272</v>
      </c>
      <c r="K75" s="1" t="str">
        <f>IF(AND(Table1[[#This Row],[Rising Through Threshold]],J74&gt;0),J75-J74,"")</f>
        <v/>
      </c>
    </row>
    <row r="76" spans="1:11" x14ac:dyDescent="0.45">
      <c r="A76" s="1" t="s">
        <v>556</v>
      </c>
      <c r="B76" s="1">
        <f t="shared" si="24"/>
        <v>6</v>
      </c>
      <c r="C76" s="1">
        <f t="shared" si="25"/>
        <v>14</v>
      </c>
      <c r="D76" s="1">
        <f t="shared" si="26"/>
        <v>19</v>
      </c>
      <c r="E76" s="1">
        <f t="shared" si="27"/>
        <v>21</v>
      </c>
      <c r="F76" s="3">
        <f t="shared" si="28"/>
        <v>314.5</v>
      </c>
      <c r="G76" s="4">
        <f t="shared" si="29"/>
        <v>0.37</v>
      </c>
      <c r="H76" s="3" t="e">
        <f t="shared" si="30"/>
        <v>#VALUE!</v>
      </c>
      <c r="I76" s="1" t="b">
        <f t="shared" si="23"/>
        <v>0</v>
      </c>
      <c r="J76" s="1">
        <f>IF(Table1[[#This Row],[Rising Through Threshold]],Table1[[#This Row],[Start time]],J75)</f>
        <v>272</v>
      </c>
      <c r="K76" s="1" t="str">
        <f>IF(AND(Table1[[#This Row],[Rising Through Threshold]],J75&gt;0),J76-J75,"")</f>
        <v/>
      </c>
    </row>
    <row r="77" spans="1:11" x14ac:dyDescent="0.45">
      <c r="A77" s="1" t="s">
        <v>557</v>
      </c>
      <c r="B77" s="1">
        <f t="shared" si="24"/>
        <v>6</v>
      </c>
      <c r="C77" s="1">
        <f t="shared" si="25"/>
        <v>14</v>
      </c>
      <c r="D77" s="1">
        <f t="shared" si="26"/>
        <v>19</v>
      </c>
      <c r="E77" s="1">
        <f t="shared" si="27"/>
        <v>21</v>
      </c>
      <c r="F77" s="3">
        <f t="shared" si="28"/>
        <v>318.75</v>
      </c>
      <c r="G77" s="4">
        <f t="shared" si="29"/>
        <v>1</v>
      </c>
      <c r="H77" s="3" t="e">
        <f t="shared" si="30"/>
        <v>#VALUE!</v>
      </c>
      <c r="I77" s="1" t="b">
        <f t="shared" si="23"/>
        <v>0</v>
      </c>
      <c r="J77" s="1">
        <f>IF(Table1[[#This Row],[Rising Through Threshold]],Table1[[#This Row],[Start time]],J76)</f>
        <v>272</v>
      </c>
      <c r="K77" s="1" t="str">
        <f>IF(AND(Table1[[#This Row],[Rising Through Threshold]],J76&gt;0),J77-J76,"")</f>
        <v/>
      </c>
    </row>
    <row r="78" spans="1:11" x14ac:dyDescent="0.45">
      <c r="A78" s="1" t="s">
        <v>558</v>
      </c>
      <c r="B78" s="1">
        <f t="shared" si="24"/>
        <v>6</v>
      </c>
      <c r="C78" s="1">
        <f t="shared" si="25"/>
        <v>12</v>
      </c>
      <c r="D78" s="1">
        <f t="shared" si="26"/>
        <v>17</v>
      </c>
      <c r="E78" s="1">
        <f t="shared" si="27"/>
        <v>19</v>
      </c>
      <c r="F78" s="3">
        <f t="shared" si="28"/>
        <v>323</v>
      </c>
      <c r="G78" s="4">
        <f t="shared" si="29"/>
        <v>2.5099999999999998</v>
      </c>
      <c r="H78" s="3" t="e">
        <f t="shared" si="30"/>
        <v>#VALUE!</v>
      </c>
      <c r="I78" s="1" t="b">
        <f t="shared" si="23"/>
        <v>1</v>
      </c>
      <c r="J78" s="1">
        <f>IF(Table1[[#This Row],[Rising Through Threshold]],Table1[[#This Row],[Start time]],J77)</f>
        <v>323</v>
      </c>
      <c r="K78" s="1">
        <f>IF(AND(Table1[[#This Row],[Rising Through Threshold]],J77&gt;0),J78-J77,"")</f>
        <v>51</v>
      </c>
    </row>
    <row r="79" spans="1:11" x14ac:dyDescent="0.45">
      <c r="A79" s="1" t="s">
        <v>559</v>
      </c>
      <c r="B79" s="1">
        <f t="shared" si="24"/>
        <v>6</v>
      </c>
      <c r="C79" s="1">
        <f t="shared" si="25"/>
        <v>14</v>
      </c>
      <c r="D79" s="1">
        <f t="shared" si="26"/>
        <v>19</v>
      </c>
      <c r="E79" s="1">
        <f t="shared" si="27"/>
        <v>21</v>
      </c>
      <c r="F79" s="3">
        <f t="shared" si="28"/>
        <v>327.25</v>
      </c>
      <c r="G79" s="4">
        <f t="shared" si="29"/>
        <v>3.12</v>
      </c>
      <c r="H79" s="3" t="e">
        <f t="shared" si="30"/>
        <v>#VALUE!</v>
      </c>
      <c r="I79" s="1" t="b">
        <f t="shared" si="23"/>
        <v>0</v>
      </c>
      <c r="J79" s="1">
        <f>IF(Table1[[#This Row],[Rising Through Threshold]],Table1[[#This Row],[Start time]],J78)</f>
        <v>323</v>
      </c>
      <c r="K79" s="1" t="str">
        <f>IF(AND(Table1[[#This Row],[Rising Through Threshold]],J78&gt;0),J79-J78,"")</f>
        <v/>
      </c>
    </row>
    <row r="80" spans="1:11" x14ac:dyDescent="0.45">
      <c r="A80" s="1" t="s">
        <v>560</v>
      </c>
      <c r="B80" s="1">
        <f t="shared" si="24"/>
        <v>6</v>
      </c>
      <c r="C80" s="1">
        <f t="shared" si="25"/>
        <v>14</v>
      </c>
      <c r="D80" s="1">
        <f t="shared" si="26"/>
        <v>19</v>
      </c>
      <c r="E80" s="1">
        <f t="shared" si="27"/>
        <v>21</v>
      </c>
      <c r="F80" s="3">
        <f t="shared" si="28"/>
        <v>331.5</v>
      </c>
      <c r="G80" s="4">
        <f t="shared" si="29"/>
        <v>3.61</v>
      </c>
      <c r="H80" s="3" t="e">
        <f t="shared" si="30"/>
        <v>#VALUE!</v>
      </c>
      <c r="I80" s="1" t="b">
        <f t="shared" si="23"/>
        <v>0</v>
      </c>
      <c r="J80" s="1">
        <f>IF(Table1[[#This Row],[Rising Through Threshold]],Table1[[#This Row],[Start time]],J79)</f>
        <v>323</v>
      </c>
      <c r="K80" s="1" t="str">
        <f>IF(AND(Table1[[#This Row],[Rising Through Threshold]],J79&gt;0),J80-J79,"")</f>
        <v/>
      </c>
    </row>
    <row r="81" spans="1:11" x14ac:dyDescent="0.45">
      <c r="A81" s="1" t="s">
        <v>561</v>
      </c>
      <c r="B81" s="1">
        <f t="shared" si="24"/>
        <v>6</v>
      </c>
      <c r="C81" s="1">
        <f t="shared" si="25"/>
        <v>14</v>
      </c>
      <c r="D81" s="1">
        <f t="shared" si="26"/>
        <v>19</v>
      </c>
      <c r="E81" s="1">
        <f t="shared" si="27"/>
        <v>21</v>
      </c>
      <c r="F81" s="3">
        <f t="shared" si="28"/>
        <v>335.75</v>
      </c>
      <c r="G81" s="4">
        <f t="shared" si="29"/>
        <v>4.45</v>
      </c>
      <c r="H81" s="3" t="e">
        <f t="shared" si="30"/>
        <v>#VALUE!</v>
      </c>
      <c r="I81" s="1" t="b">
        <f t="shared" si="23"/>
        <v>0</v>
      </c>
      <c r="J81" s="1">
        <f>IF(Table1[[#This Row],[Rising Through Threshold]],Table1[[#This Row],[Start time]],J80)</f>
        <v>323</v>
      </c>
      <c r="K81" s="1" t="str">
        <f>IF(AND(Table1[[#This Row],[Rising Through Threshold]],J80&gt;0),J81-J80,"")</f>
        <v/>
      </c>
    </row>
    <row r="82" spans="1:11" x14ac:dyDescent="0.45">
      <c r="A82" s="1" t="s">
        <v>562</v>
      </c>
      <c r="B82" s="1">
        <f t="shared" si="24"/>
        <v>6</v>
      </c>
      <c r="C82" s="1">
        <f t="shared" si="25"/>
        <v>12</v>
      </c>
      <c r="D82" s="1">
        <f t="shared" si="26"/>
        <v>17</v>
      </c>
      <c r="E82" s="1">
        <f t="shared" si="27"/>
        <v>19</v>
      </c>
      <c r="F82" s="3">
        <f t="shared" si="28"/>
        <v>340</v>
      </c>
      <c r="G82" s="4">
        <f t="shared" si="29"/>
        <v>5</v>
      </c>
      <c r="H82" s="3" t="e">
        <f t="shared" si="30"/>
        <v>#VALUE!</v>
      </c>
      <c r="I82" s="1" t="b">
        <f t="shared" si="23"/>
        <v>0</v>
      </c>
      <c r="J82" s="1">
        <f>IF(Table1[[#This Row],[Rising Through Threshold]],Table1[[#This Row],[Start time]],J81)</f>
        <v>323</v>
      </c>
      <c r="K82" s="1" t="str">
        <f>IF(AND(Table1[[#This Row],[Rising Through Threshold]],J81&gt;0),J82-J81,"")</f>
        <v/>
      </c>
    </row>
    <row r="83" spans="1:11" x14ac:dyDescent="0.45">
      <c r="A83" s="1" t="s">
        <v>563</v>
      </c>
      <c r="B83" s="1">
        <f t="shared" si="24"/>
        <v>6</v>
      </c>
      <c r="C83" s="1">
        <f t="shared" si="25"/>
        <v>14</v>
      </c>
      <c r="D83" s="1">
        <f t="shared" si="26"/>
        <v>19</v>
      </c>
      <c r="E83" s="1">
        <f t="shared" si="27"/>
        <v>21</v>
      </c>
      <c r="F83" s="3">
        <f t="shared" si="28"/>
        <v>344.25</v>
      </c>
      <c r="G83" s="4">
        <f t="shared" si="29"/>
        <v>4.1399999999999997</v>
      </c>
      <c r="H83" s="3" t="e">
        <f t="shared" si="30"/>
        <v>#VALUE!</v>
      </c>
      <c r="I83" s="1" t="b">
        <f t="shared" si="23"/>
        <v>0</v>
      </c>
      <c r="J83" s="1">
        <f>IF(Table1[[#This Row],[Rising Through Threshold]],Table1[[#This Row],[Start time]],J82)</f>
        <v>323</v>
      </c>
      <c r="K83" s="1" t="str">
        <f>IF(AND(Table1[[#This Row],[Rising Through Threshold]],J82&gt;0),J83-J82,"")</f>
        <v/>
      </c>
    </row>
    <row r="84" spans="1:11" x14ac:dyDescent="0.45">
      <c r="A84" s="1" t="s">
        <v>564</v>
      </c>
      <c r="B84" s="1">
        <f t="shared" si="24"/>
        <v>6</v>
      </c>
      <c r="C84" s="1">
        <f t="shared" si="25"/>
        <v>14</v>
      </c>
      <c r="D84" s="1">
        <f t="shared" si="26"/>
        <v>19</v>
      </c>
      <c r="E84" s="1">
        <f t="shared" si="27"/>
        <v>21</v>
      </c>
      <c r="F84" s="3">
        <f t="shared" si="28"/>
        <v>348.5</v>
      </c>
      <c r="G84" s="4">
        <f t="shared" si="29"/>
        <v>3.2</v>
      </c>
      <c r="H84" s="3" t="e">
        <f t="shared" si="30"/>
        <v>#VALUE!</v>
      </c>
      <c r="I84" s="1" t="b">
        <f t="shared" si="23"/>
        <v>0</v>
      </c>
      <c r="J84" s="1">
        <f>IF(Table1[[#This Row],[Rising Through Threshold]],Table1[[#This Row],[Start time]],J83)</f>
        <v>323</v>
      </c>
      <c r="K84" s="1" t="str">
        <f>IF(AND(Table1[[#This Row],[Rising Through Threshold]],J83&gt;0),J84-J83,"")</f>
        <v/>
      </c>
    </row>
    <row r="85" spans="1:11" x14ac:dyDescent="0.45">
      <c r="A85" s="1" t="s">
        <v>565</v>
      </c>
      <c r="B85" s="1">
        <f t="shared" si="24"/>
        <v>6</v>
      </c>
      <c r="C85" s="1">
        <f t="shared" si="25"/>
        <v>14</v>
      </c>
      <c r="D85" s="1">
        <f t="shared" si="26"/>
        <v>19</v>
      </c>
      <c r="E85" s="1">
        <f t="shared" si="27"/>
        <v>21</v>
      </c>
      <c r="F85" s="3">
        <f t="shared" si="28"/>
        <v>352.75</v>
      </c>
      <c r="G85" s="4">
        <f t="shared" si="29"/>
        <v>1.31</v>
      </c>
      <c r="H85" s="3" t="e">
        <f t="shared" si="30"/>
        <v>#VALUE!</v>
      </c>
      <c r="I85" s="1" t="b">
        <f t="shared" si="23"/>
        <v>0</v>
      </c>
      <c r="J85" s="1">
        <f>IF(Table1[[#This Row],[Rising Through Threshold]],Table1[[#This Row],[Start time]],J84)</f>
        <v>323</v>
      </c>
      <c r="K85" s="1" t="str">
        <f>IF(AND(Table1[[#This Row],[Rising Through Threshold]],J84&gt;0),J85-J84,"")</f>
        <v/>
      </c>
    </row>
    <row r="86" spans="1:11" x14ac:dyDescent="0.45">
      <c r="A86" s="1" t="s">
        <v>566</v>
      </c>
      <c r="B86" s="1">
        <f t="shared" si="24"/>
        <v>6</v>
      </c>
      <c r="C86" s="1">
        <f t="shared" si="25"/>
        <v>12</v>
      </c>
      <c r="D86" s="1">
        <f t="shared" si="26"/>
        <v>17</v>
      </c>
      <c r="E86" s="1">
        <f t="shared" si="27"/>
        <v>19</v>
      </c>
      <c r="F86" s="3">
        <f t="shared" si="28"/>
        <v>357</v>
      </c>
      <c r="G86" s="4">
        <f t="shared" si="29"/>
        <v>0.39</v>
      </c>
      <c r="H86" s="3" t="e">
        <f t="shared" si="30"/>
        <v>#VALUE!</v>
      </c>
      <c r="I86" s="1" t="b">
        <f t="shared" si="23"/>
        <v>0</v>
      </c>
      <c r="J86" s="1">
        <f>IF(Table1[[#This Row],[Rising Through Threshold]],Table1[[#This Row],[Start time]],J85)</f>
        <v>323</v>
      </c>
      <c r="K86" s="1" t="str">
        <f>IF(AND(Table1[[#This Row],[Rising Through Threshold]],J85&gt;0),J86-J85,"")</f>
        <v/>
      </c>
    </row>
    <row r="87" spans="1:11" x14ac:dyDescent="0.45">
      <c r="A87" s="1" t="s">
        <v>567</v>
      </c>
      <c r="B87" s="1">
        <f t="shared" si="24"/>
        <v>6</v>
      </c>
      <c r="C87" s="1">
        <f t="shared" si="25"/>
        <v>14</v>
      </c>
      <c r="D87" s="1">
        <f t="shared" si="26"/>
        <v>19</v>
      </c>
      <c r="E87" s="1">
        <f t="shared" si="27"/>
        <v>21</v>
      </c>
      <c r="F87" s="3">
        <f t="shared" si="28"/>
        <v>361.25</v>
      </c>
      <c r="G87" s="4">
        <f t="shared" si="29"/>
        <v>0</v>
      </c>
      <c r="H87" s="3" t="e">
        <f t="shared" si="30"/>
        <v>#VALUE!</v>
      </c>
      <c r="I87" s="1" t="b">
        <f t="shared" si="23"/>
        <v>0</v>
      </c>
      <c r="J87" s="1">
        <f>IF(Table1[[#This Row],[Rising Through Threshold]],Table1[[#This Row],[Start time]],J86)</f>
        <v>323</v>
      </c>
      <c r="K87" s="1" t="str">
        <f>IF(AND(Table1[[#This Row],[Rising Through Threshold]],J86&gt;0),J87-J86,"")</f>
        <v/>
      </c>
    </row>
    <row r="88" spans="1:11" x14ac:dyDescent="0.45">
      <c r="A88" s="1" t="s">
        <v>568</v>
      </c>
      <c r="B88" s="1">
        <f t="shared" si="24"/>
        <v>6</v>
      </c>
      <c r="C88" s="1">
        <f t="shared" si="25"/>
        <v>14</v>
      </c>
      <c r="D88" s="1">
        <f t="shared" si="26"/>
        <v>19</v>
      </c>
      <c r="E88" s="1">
        <f t="shared" si="27"/>
        <v>21</v>
      </c>
      <c r="F88" s="3">
        <f t="shared" si="28"/>
        <v>365.5</v>
      </c>
      <c r="G88" s="4">
        <f t="shared" si="29"/>
        <v>0</v>
      </c>
      <c r="H88" s="3" t="e">
        <f t="shared" si="30"/>
        <v>#VALUE!</v>
      </c>
      <c r="I88" s="1" t="b">
        <f t="shared" si="23"/>
        <v>0</v>
      </c>
      <c r="J88" s="1">
        <f>IF(Table1[[#This Row],[Rising Through Threshold]],Table1[[#This Row],[Start time]],J87)</f>
        <v>323</v>
      </c>
      <c r="K88" s="1" t="str">
        <f>IF(AND(Table1[[#This Row],[Rising Through Threshold]],J87&gt;0),J88-J87,"")</f>
        <v/>
      </c>
    </row>
    <row r="89" spans="1:11" x14ac:dyDescent="0.45">
      <c r="A89" s="1" t="s">
        <v>569</v>
      </c>
      <c r="B89" s="1">
        <f t="shared" si="24"/>
        <v>6</v>
      </c>
      <c r="C89" s="1">
        <f t="shared" si="25"/>
        <v>14</v>
      </c>
      <c r="D89" s="1">
        <f t="shared" si="26"/>
        <v>19</v>
      </c>
      <c r="E89" s="1">
        <f t="shared" si="27"/>
        <v>21</v>
      </c>
      <c r="F89" s="3">
        <f t="shared" si="28"/>
        <v>369.75</v>
      </c>
      <c r="G89" s="4">
        <f t="shared" si="29"/>
        <v>0.96</v>
      </c>
      <c r="H89" s="3" t="e">
        <f t="shared" si="30"/>
        <v>#VALUE!</v>
      </c>
      <c r="I89" s="1" t="b">
        <f t="shared" si="23"/>
        <v>0</v>
      </c>
      <c r="J89" s="1">
        <f>IF(Table1[[#This Row],[Rising Through Threshold]],Table1[[#This Row],[Start time]],J88)</f>
        <v>323</v>
      </c>
      <c r="K89" s="1" t="str">
        <f>IF(AND(Table1[[#This Row],[Rising Through Threshold]],J88&gt;0),J89-J88,"")</f>
        <v/>
      </c>
    </row>
    <row r="90" spans="1:11" x14ac:dyDescent="0.45">
      <c r="A90" s="1" t="s">
        <v>570</v>
      </c>
      <c r="B90" s="1">
        <f t="shared" si="24"/>
        <v>6</v>
      </c>
      <c r="C90" s="1">
        <f t="shared" si="25"/>
        <v>12</v>
      </c>
      <c r="D90" s="1">
        <f t="shared" si="26"/>
        <v>17</v>
      </c>
      <c r="E90" s="1">
        <f t="shared" si="27"/>
        <v>19</v>
      </c>
      <c r="F90" s="3">
        <f t="shared" si="28"/>
        <v>374</v>
      </c>
      <c r="G90" s="4">
        <f t="shared" si="29"/>
        <v>1.73</v>
      </c>
      <c r="H90" s="3" t="e">
        <f t="shared" si="30"/>
        <v>#VALUE!</v>
      </c>
      <c r="I90" s="1" t="b">
        <f t="shared" si="23"/>
        <v>0</v>
      </c>
      <c r="J90" s="1">
        <f>IF(Table1[[#This Row],[Rising Through Threshold]],Table1[[#This Row],[Start time]],J89)</f>
        <v>323</v>
      </c>
      <c r="K90" s="1" t="str">
        <f>IF(AND(Table1[[#This Row],[Rising Through Threshold]],J89&gt;0),J90-J89,"")</f>
        <v/>
      </c>
    </row>
    <row r="91" spans="1:11" x14ac:dyDescent="0.45">
      <c r="A91" s="1" t="s">
        <v>571</v>
      </c>
      <c r="B91" s="1">
        <f t="shared" si="24"/>
        <v>6</v>
      </c>
      <c r="C91" s="1">
        <f t="shared" si="25"/>
        <v>14</v>
      </c>
      <c r="D91" s="1">
        <f t="shared" si="26"/>
        <v>19</v>
      </c>
      <c r="E91" s="1">
        <f t="shared" si="27"/>
        <v>21</v>
      </c>
      <c r="F91" s="3">
        <f t="shared" si="28"/>
        <v>378.25</v>
      </c>
      <c r="G91" s="4">
        <f t="shared" si="29"/>
        <v>2.4900000000000002</v>
      </c>
      <c r="H91" s="3" t="e">
        <f t="shared" si="30"/>
        <v>#VALUE!</v>
      </c>
      <c r="I91" s="1" t="b">
        <f t="shared" si="23"/>
        <v>1</v>
      </c>
      <c r="J91" s="1">
        <f>IF(Table1[[#This Row],[Rising Through Threshold]],Table1[[#This Row],[Start time]],J90)</f>
        <v>378.25</v>
      </c>
      <c r="K91" s="1">
        <f>IF(AND(Table1[[#This Row],[Rising Through Threshold]],J90&gt;0),J91-J90,"")</f>
        <v>55.25</v>
      </c>
    </row>
    <row r="92" spans="1:11" x14ac:dyDescent="0.45">
      <c r="A92" s="1" t="s">
        <v>572</v>
      </c>
      <c r="B92" s="1">
        <f t="shared" si="24"/>
        <v>6</v>
      </c>
      <c r="C92" s="1">
        <f t="shared" si="25"/>
        <v>14</v>
      </c>
      <c r="D92" s="1">
        <f t="shared" si="26"/>
        <v>19</v>
      </c>
      <c r="E92" s="1">
        <f t="shared" si="27"/>
        <v>21</v>
      </c>
      <c r="F92" s="3">
        <f t="shared" si="28"/>
        <v>382.5</v>
      </c>
      <c r="G92" s="4">
        <f t="shared" si="29"/>
        <v>3.61</v>
      </c>
      <c r="H92" s="3" t="e">
        <f t="shared" si="30"/>
        <v>#VALUE!</v>
      </c>
      <c r="I92" s="1" t="b">
        <f t="shared" si="23"/>
        <v>0</v>
      </c>
      <c r="J92" s="1">
        <f>IF(Table1[[#This Row],[Rising Through Threshold]],Table1[[#This Row],[Start time]],J91)</f>
        <v>378.25</v>
      </c>
      <c r="K92" s="1" t="str">
        <f>IF(AND(Table1[[#This Row],[Rising Through Threshold]],J91&gt;0),J92-J91,"")</f>
        <v/>
      </c>
    </row>
    <row r="93" spans="1:11" x14ac:dyDescent="0.45">
      <c r="A93" s="1" t="s">
        <v>573</v>
      </c>
      <c r="B93" s="1">
        <f t="shared" si="24"/>
        <v>6</v>
      </c>
      <c r="C93" s="1">
        <f t="shared" si="25"/>
        <v>14</v>
      </c>
      <c r="D93" s="1">
        <f t="shared" si="26"/>
        <v>19</v>
      </c>
      <c r="E93" s="1">
        <f t="shared" si="27"/>
        <v>21</v>
      </c>
      <c r="F93" s="3">
        <f t="shared" si="28"/>
        <v>386.75</v>
      </c>
      <c r="G93" s="4">
        <f t="shared" si="29"/>
        <v>4.41</v>
      </c>
      <c r="H93" s="3" t="e">
        <f t="shared" si="30"/>
        <v>#VALUE!</v>
      </c>
      <c r="I93" s="1" t="b">
        <f t="shared" si="23"/>
        <v>0</v>
      </c>
      <c r="J93" s="1">
        <f>IF(Table1[[#This Row],[Rising Through Threshold]],Table1[[#This Row],[Start time]],J92)</f>
        <v>378.25</v>
      </c>
      <c r="K93" s="1" t="str">
        <f>IF(AND(Table1[[#This Row],[Rising Through Threshold]],J92&gt;0),J93-J92,"")</f>
        <v/>
      </c>
    </row>
    <row r="94" spans="1:11" x14ac:dyDescent="0.45">
      <c r="A94" s="1" t="s">
        <v>574</v>
      </c>
      <c r="B94" s="1">
        <f t="shared" si="24"/>
        <v>6</v>
      </c>
      <c r="C94" s="1">
        <f t="shared" si="25"/>
        <v>12</v>
      </c>
      <c r="D94" s="1">
        <f t="shared" si="26"/>
        <v>17</v>
      </c>
      <c r="E94" s="1">
        <f t="shared" si="27"/>
        <v>19</v>
      </c>
      <c r="F94" s="3">
        <f t="shared" si="28"/>
        <v>391</v>
      </c>
      <c r="G94" s="4">
        <f t="shared" si="29"/>
        <v>5</v>
      </c>
      <c r="H94" s="3" t="e">
        <f t="shared" si="30"/>
        <v>#VALUE!</v>
      </c>
      <c r="I94" s="1" t="b">
        <f t="shared" si="23"/>
        <v>0</v>
      </c>
      <c r="J94" s="1">
        <f>IF(Table1[[#This Row],[Rising Through Threshold]],Table1[[#This Row],[Start time]],J93)</f>
        <v>378.25</v>
      </c>
      <c r="K94" s="1" t="str">
        <f>IF(AND(Table1[[#This Row],[Rising Through Threshold]],J93&gt;0),J94-J93,"")</f>
        <v/>
      </c>
    </row>
    <row r="95" spans="1:11" x14ac:dyDescent="0.45">
      <c r="A95" s="1" t="s">
        <v>575</v>
      </c>
      <c r="B95" s="1">
        <f t="shared" si="24"/>
        <v>6</v>
      </c>
      <c r="C95" s="1">
        <f t="shared" si="25"/>
        <v>14</v>
      </c>
      <c r="D95" s="1">
        <f t="shared" si="26"/>
        <v>19</v>
      </c>
      <c r="E95" s="1">
        <f t="shared" si="27"/>
        <v>21</v>
      </c>
      <c r="F95" s="3">
        <f t="shared" si="28"/>
        <v>395.25</v>
      </c>
      <c r="G95" s="4">
        <f t="shared" si="29"/>
        <v>4.2</v>
      </c>
      <c r="H95" s="3" t="e">
        <f t="shared" si="30"/>
        <v>#VALUE!</v>
      </c>
      <c r="I95" s="1" t="b">
        <f t="shared" si="23"/>
        <v>0</v>
      </c>
      <c r="J95" s="1">
        <f>IF(Table1[[#This Row],[Rising Through Threshold]],Table1[[#This Row],[Start time]],J94)</f>
        <v>378.25</v>
      </c>
      <c r="K95" s="1" t="str">
        <f>IF(AND(Table1[[#This Row],[Rising Through Threshold]],J94&gt;0),J95-J94,"")</f>
        <v/>
      </c>
    </row>
    <row r="96" spans="1:11" x14ac:dyDescent="0.45">
      <c r="A96" s="1" t="s">
        <v>576</v>
      </c>
      <c r="B96" s="1">
        <f t="shared" si="24"/>
        <v>6</v>
      </c>
      <c r="C96" s="1">
        <f t="shared" si="25"/>
        <v>14</v>
      </c>
      <c r="D96" s="1">
        <f t="shared" si="26"/>
        <v>19</v>
      </c>
      <c r="E96" s="1">
        <f t="shared" si="27"/>
        <v>21</v>
      </c>
      <c r="F96" s="3">
        <f t="shared" si="28"/>
        <v>399.5</v>
      </c>
      <c r="G96" s="4">
        <f t="shared" si="29"/>
        <v>3.27</v>
      </c>
      <c r="H96" s="3" t="e">
        <f t="shared" si="30"/>
        <v>#VALUE!</v>
      </c>
      <c r="I96" s="1" t="b">
        <f t="shared" si="23"/>
        <v>0</v>
      </c>
      <c r="J96" s="1">
        <f>IF(Table1[[#This Row],[Rising Through Threshold]],Table1[[#This Row],[Start time]],J95)</f>
        <v>378.25</v>
      </c>
      <c r="K96" s="1" t="str">
        <f>IF(AND(Table1[[#This Row],[Rising Through Threshold]],J95&gt;0),J96-J95,"")</f>
        <v/>
      </c>
    </row>
    <row r="97" spans="1:11" x14ac:dyDescent="0.45">
      <c r="A97" s="1" t="s">
        <v>577</v>
      </c>
      <c r="B97" s="1">
        <f t="shared" si="24"/>
        <v>6</v>
      </c>
      <c r="C97" s="1">
        <f t="shared" si="25"/>
        <v>14</v>
      </c>
      <c r="D97" s="1">
        <f t="shared" si="26"/>
        <v>19</v>
      </c>
      <c r="E97" s="1">
        <f t="shared" si="27"/>
        <v>21</v>
      </c>
      <c r="F97" s="3">
        <f t="shared" si="28"/>
        <v>403.75</v>
      </c>
      <c r="G97" s="4">
        <f t="shared" si="29"/>
        <v>2.35</v>
      </c>
      <c r="H97" s="3" t="e">
        <f t="shared" si="30"/>
        <v>#VALUE!</v>
      </c>
      <c r="I97" s="1" t="b">
        <f t="shared" si="23"/>
        <v>0</v>
      </c>
      <c r="J97" s="1">
        <f>IF(Table1[[#This Row],[Rising Through Threshold]],Table1[[#This Row],[Start time]],J96)</f>
        <v>378.25</v>
      </c>
      <c r="K97" s="1" t="str">
        <f>IF(AND(Table1[[#This Row],[Rising Through Threshold]],J96&gt;0),J97-J96,"")</f>
        <v/>
      </c>
    </row>
    <row r="98" spans="1:11" x14ac:dyDescent="0.45">
      <c r="A98" s="1" t="s">
        <v>578</v>
      </c>
      <c r="B98" s="1">
        <f t="shared" si="24"/>
        <v>6</v>
      </c>
      <c r="C98" s="1">
        <f t="shared" si="25"/>
        <v>12</v>
      </c>
      <c r="D98" s="1">
        <f t="shared" si="26"/>
        <v>17</v>
      </c>
      <c r="E98" s="1">
        <f t="shared" si="27"/>
        <v>19</v>
      </c>
      <c r="F98" s="3">
        <f t="shared" si="28"/>
        <v>408</v>
      </c>
      <c r="G98" s="4">
        <f t="shared" si="29"/>
        <v>1.39</v>
      </c>
      <c r="H98" s="3" t="e">
        <f t="shared" si="30"/>
        <v>#VALUE!</v>
      </c>
      <c r="I98" s="1" t="b">
        <f t="shared" si="23"/>
        <v>0</v>
      </c>
      <c r="J98" s="1">
        <f>IF(Table1[[#This Row],[Rising Through Threshold]],Table1[[#This Row],[Start time]],J97)</f>
        <v>378.25</v>
      </c>
      <c r="K98" s="1" t="str">
        <f>IF(AND(Table1[[#This Row],[Rising Through Threshold]],J97&gt;0),J98-J97,"")</f>
        <v/>
      </c>
    </row>
    <row r="99" spans="1:11" x14ac:dyDescent="0.45">
      <c r="A99" s="1" t="s">
        <v>579</v>
      </c>
      <c r="B99" s="1">
        <f t="shared" si="24"/>
        <v>6</v>
      </c>
      <c r="C99" s="1">
        <f t="shared" si="25"/>
        <v>14</v>
      </c>
      <c r="D99" s="1">
        <f t="shared" si="26"/>
        <v>19</v>
      </c>
      <c r="E99" s="1">
        <f t="shared" si="27"/>
        <v>21</v>
      </c>
      <c r="F99" s="3">
        <f t="shared" si="28"/>
        <v>412.25</v>
      </c>
      <c r="G99" s="4">
        <f t="shared" si="29"/>
        <v>0</v>
      </c>
      <c r="H99" s="3" t="e">
        <f t="shared" si="30"/>
        <v>#VALUE!</v>
      </c>
      <c r="I99" s="1" t="b">
        <f t="shared" si="23"/>
        <v>0</v>
      </c>
      <c r="J99" s="1">
        <f>IF(Table1[[#This Row],[Rising Through Threshold]],Table1[[#This Row],[Start time]],J98)</f>
        <v>378.25</v>
      </c>
      <c r="K99" s="1" t="str">
        <f>IF(AND(Table1[[#This Row],[Rising Through Threshold]],J98&gt;0),J99-J98,"")</f>
        <v/>
      </c>
    </row>
    <row r="100" spans="1:11" x14ac:dyDescent="0.45">
      <c r="A100" s="1" t="s">
        <v>580</v>
      </c>
      <c r="B100" s="1">
        <f t="shared" si="24"/>
        <v>6</v>
      </c>
      <c r="C100" s="1">
        <f t="shared" si="25"/>
        <v>14</v>
      </c>
      <c r="D100" s="1">
        <f t="shared" si="26"/>
        <v>19</v>
      </c>
      <c r="E100" s="1">
        <f t="shared" si="27"/>
        <v>21</v>
      </c>
      <c r="F100" s="3">
        <f t="shared" si="28"/>
        <v>416.5</v>
      </c>
      <c r="G100" s="4">
        <f t="shared" si="29"/>
        <v>0</v>
      </c>
      <c r="H100" s="3" t="e">
        <f t="shared" si="30"/>
        <v>#VALUE!</v>
      </c>
      <c r="I100" s="1" t="b">
        <f t="shared" si="23"/>
        <v>0</v>
      </c>
      <c r="J100" s="1">
        <f>IF(Table1[[#This Row],[Rising Through Threshold]],Table1[[#This Row],[Start time]],J99)</f>
        <v>378.25</v>
      </c>
      <c r="K100" s="1" t="str">
        <f>IF(AND(Table1[[#This Row],[Rising Through Threshold]],J99&gt;0),J100-J99,"")</f>
        <v/>
      </c>
    </row>
    <row r="101" spans="1:11" x14ac:dyDescent="0.45">
      <c r="A101" s="1" t="s">
        <v>581</v>
      </c>
      <c r="B101" s="1">
        <f t="shared" si="24"/>
        <v>6</v>
      </c>
      <c r="C101" s="1">
        <f t="shared" si="25"/>
        <v>14</v>
      </c>
      <c r="D101" s="1">
        <f t="shared" si="26"/>
        <v>19</v>
      </c>
      <c r="E101" s="1">
        <f t="shared" si="27"/>
        <v>21</v>
      </c>
      <c r="F101" s="3">
        <f t="shared" si="28"/>
        <v>420.75</v>
      </c>
      <c r="G101" s="4">
        <f t="shared" si="29"/>
        <v>0.28999999999999998</v>
      </c>
      <c r="H101" s="3" t="e">
        <f t="shared" si="30"/>
        <v>#VALUE!</v>
      </c>
      <c r="I101" s="1" t="b">
        <f t="shared" si="23"/>
        <v>0</v>
      </c>
      <c r="J101" s="1">
        <f>IF(Table1[[#This Row],[Rising Through Threshold]],Table1[[#This Row],[Start time]],J100)</f>
        <v>378.25</v>
      </c>
      <c r="K101" s="1" t="str">
        <f>IF(AND(Table1[[#This Row],[Rising Through Threshold]],J100&gt;0),J101-J100,"")</f>
        <v/>
      </c>
    </row>
    <row r="102" spans="1:11" x14ac:dyDescent="0.45">
      <c r="A102" s="1" t="s">
        <v>582</v>
      </c>
      <c r="B102" s="1">
        <f t="shared" si="24"/>
        <v>6</v>
      </c>
      <c r="C102" s="1">
        <f t="shared" si="25"/>
        <v>12</v>
      </c>
      <c r="D102" s="1">
        <f t="shared" si="26"/>
        <v>17</v>
      </c>
      <c r="E102" s="1">
        <f t="shared" si="27"/>
        <v>19</v>
      </c>
      <c r="F102" s="3">
        <f t="shared" si="28"/>
        <v>425</v>
      </c>
      <c r="G102" s="4">
        <f t="shared" si="29"/>
        <v>1.69</v>
      </c>
      <c r="H102" s="3" t="e">
        <f t="shared" si="30"/>
        <v>#VALUE!</v>
      </c>
      <c r="I102" s="1" t="b">
        <f t="shared" si="23"/>
        <v>0</v>
      </c>
      <c r="J102" s="1">
        <f>IF(Table1[[#This Row],[Rising Through Threshold]],Table1[[#This Row],[Start time]],J101)</f>
        <v>378.25</v>
      </c>
      <c r="K102" s="1" t="str">
        <f>IF(AND(Table1[[#This Row],[Rising Through Threshold]],J101&gt;0),J102-J101,"")</f>
        <v/>
      </c>
    </row>
    <row r="103" spans="1:11" x14ac:dyDescent="0.45">
      <c r="A103" s="1" t="s">
        <v>583</v>
      </c>
      <c r="B103" s="1">
        <f t="shared" si="24"/>
        <v>6</v>
      </c>
      <c r="C103" s="1">
        <f t="shared" si="25"/>
        <v>14</v>
      </c>
      <c r="D103" s="1">
        <f t="shared" si="26"/>
        <v>19</v>
      </c>
      <c r="E103" s="1">
        <f t="shared" si="27"/>
        <v>21</v>
      </c>
      <c r="F103" s="3">
        <f t="shared" si="28"/>
        <v>429.25</v>
      </c>
      <c r="G103" s="4">
        <f t="shared" si="29"/>
        <v>2.4700000000000002</v>
      </c>
      <c r="H103" s="3" t="e">
        <f t="shared" si="30"/>
        <v>#VALUE!</v>
      </c>
      <c r="I103" s="1" t="b">
        <f t="shared" si="23"/>
        <v>1</v>
      </c>
      <c r="J103" s="1">
        <f>IF(Table1[[#This Row],[Rising Through Threshold]],Table1[[#This Row],[Start time]],J102)</f>
        <v>429.25</v>
      </c>
      <c r="K103" s="1">
        <f>IF(AND(Table1[[#This Row],[Rising Through Threshold]],J102&gt;0),J103-J102,"")</f>
        <v>51</v>
      </c>
    </row>
    <row r="104" spans="1:11" x14ac:dyDescent="0.45">
      <c r="A104" s="1" t="s">
        <v>584</v>
      </c>
      <c r="B104" s="1">
        <f t="shared" si="24"/>
        <v>6</v>
      </c>
      <c r="C104" s="1">
        <f t="shared" si="25"/>
        <v>14</v>
      </c>
      <c r="D104" s="1">
        <f t="shared" si="26"/>
        <v>19</v>
      </c>
      <c r="E104" s="1">
        <f t="shared" si="27"/>
        <v>21</v>
      </c>
      <c r="F104" s="3">
        <f t="shared" si="28"/>
        <v>433.5</v>
      </c>
      <c r="G104" s="4">
        <f t="shared" si="29"/>
        <v>3.12</v>
      </c>
      <c r="H104" s="3" t="e">
        <f t="shared" si="30"/>
        <v>#VALUE!</v>
      </c>
      <c r="I104" s="1" t="b">
        <f t="shared" si="23"/>
        <v>0</v>
      </c>
      <c r="J104" s="1">
        <f>IF(Table1[[#This Row],[Rising Through Threshold]],Table1[[#This Row],[Start time]],J103)</f>
        <v>429.25</v>
      </c>
      <c r="K104" s="1" t="str">
        <f>IF(AND(Table1[[#This Row],[Rising Through Threshold]],J103&gt;0),J104-J103,"")</f>
        <v/>
      </c>
    </row>
    <row r="105" spans="1:11" x14ac:dyDescent="0.45">
      <c r="A105" s="1" t="s">
        <v>469</v>
      </c>
      <c r="B105" s="1">
        <f t="shared" si="24"/>
        <v>6</v>
      </c>
      <c r="C105" s="1">
        <f t="shared" si="25"/>
        <v>14</v>
      </c>
      <c r="D105" s="1">
        <f t="shared" si="26"/>
        <v>19</v>
      </c>
      <c r="E105" s="1">
        <f t="shared" si="27"/>
        <v>21</v>
      </c>
      <c r="F105" s="3">
        <f t="shared" si="28"/>
        <v>437.75</v>
      </c>
      <c r="G105" s="4">
        <f t="shared" si="29"/>
        <v>4.3899999999999997</v>
      </c>
      <c r="H105" s="3" t="e">
        <f t="shared" si="30"/>
        <v>#VALUE!</v>
      </c>
      <c r="I105" s="1" t="b">
        <f t="shared" si="23"/>
        <v>0</v>
      </c>
      <c r="J105" s="1">
        <f>IF(Table1[[#This Row],[Rising Through Threshold]],Table1[[#This Row],[Start time]],J104)</f>
        <v>429.25</v>
      </c>
      <c r="K105" s="1" t="str">
        <f>IF(AND(Table1[[#This Row],[Rising Through Threshold]],J104&gt;0),J105-J104,"")</f>
        <v/>
      </c>
    </row>
    <row r="106" spans="1:11" x14ac:dyDescent="0.45">
      <c r="A106" s="1" t="s">
        <v>585</v>
      </c>
      <c r="B106" s="1">
        <f t="shared" si="24"/>
        <v>6</v>
      </c>
      <c r="C106" s="1">
        <f t="shared" si="25"/>
        <v>12</v>
      </c>
      <c r="D106" s="1">
        <f t="shared" si="26"/>
        <v>17</v>
      </c>
      <c r="E106" s="1">
        <f t="shared" si="27"/>
        <v>19</v>
      </c>
      <c r="F106" s="3">
        <f t="shared" si="28"/>
        <v>442</v>
      </c>
      <c r="G106" s="4">
        <f t="shared" si="29"/>
        <v>5</v>
      </c>
      <c r="H106" s="3" t="e">
        <f t="shared" si="30"/>
        <v>#VALUE!</v>
      </c>
      <c r="I106" s="1" t="b">
        <f t="shared" si="23"/>
        <v>0</v>
      </c>
      <c r="J106" s="1">
        <f>IF(Table1[[#This Row],[Rising Through Threshold]],Table1[[#This Row],[Start time]],J105)</f>
        <v>429.25</v>
      </c>
      <c r="K106" s="1" t="str">
        <f>IF(AND(Table1[[#This Row],[Rising Through Threshold]],J105&gt;0),J106-J105,"")</f>
        <v/>
      </c>
    </row>
    <row r="107" spans="1:11" x14ac:dyDescent="0.45">
      <c r="A107" s="1" t="s">
        <v>586</v>
      </c>
      <c r="B107" s="1">
        <f t="shared" si="24"/>
        <v>6</v>
      </c>
      <c r="C107" s="1">
        <f t="shared" si="25"/>
        <v>14</v>
      </c>
      <c r="D107" s="1">
        <f t="shared" si="26"/>
        <v>19</v>
      </c>
      <c r="E107" s="1">
        <f t="shared" si="27"/>
        <v>21</v>
      </c>
      <c r="F107" s="3">
        <f t="shared" si="28"/>
        <v>446.25</v>
      </c>
      <c r="G107" s="4">
        <f t="shared" si="29"/>
        <v>5</v>
      </c>
      <c r="H107" s="3" t="e">
        <f t="shared" si="30"/>
        <v>#VALUE!</v>
      </c>
      <c r="I107" s="1" t="b">
        <f t="shared" si="23"/>
        <v>0</v>
      </c>
      <c r="J107" s="1">
        <f>IF(Table1[[#This Row],[Rising Through Threshold]],Table1[[#This Row],[Start time]],J106)</f>
        <v>429.25</v>
      </c>
      <c r="K107" s="1" t="str">
        <f>IF(AND(Table1[[#This Row],[Rising Through Threshold]],J106&gt;0),J107-J106,"")</f>
        <v/>
      </c>
    </row>
    <row r="108" spans="1:11" x14ac:dyDescent="0.45">
      <c r="A108" s="1" t="s">
        <v>587</v>
      </c>
      <c r="B108" s="1">
        <f t="shared" si="24"/>
        <v>6</v>
      </c>
      <c r="C108" s="1">
        <f t="shared" si="25"/>
        <v>14</v>
      </c>
      <c r="D108" s="1">
        <f t="shared" si="26"/>
        <v>19</v>
      </c>
      <c r="E108" s="1">
        <f t="shared" si="27"/>
        <v>21</v>
      </c>
      <c r="F108" s="3">
        <f t="shared" si="28"/>
        <v>450.5</v>
      </c>
      <c r="G108" s="4">
        <f t="shared" si="29"/>
        <v>4.24</v>
      </c>
      <c r="H108" s="3" t="e">
        <f t="shared" si="30"/>
        <v>#VALUE!</v>
      </c>
      <c r="I108" s="1" t="b">
        <f t="shared" si="23"/>
        <v>0</v>
      </c>
      <c r="J108" s="1">
        <f>IF(Table1[[#This Row],[Rising Through Threshold]],Table1[[#This Row],[Start time]],J107)</f>
        <v>429.25</v>
      </c>
      <c r="K108" s="1" t="str">
        <f>IF(AND(Table1[[#This Row],[Rising Through Threshold]],J107&gt;0),J108-J107,"")</f>
        <v/>
      </c>
    </row>
    <row r="109" spans="1:11" x14ac:dyDescent="0.45">
      <c r="A109" s="1" t="s">
        <v>588</v>
      </c>
      <c r="B109" s="1">
        <f t="shared" si="24"/>
        <v>6</v>
      </c>
      <c r="C109" s="1">
        <f t="shared" si="25"/>
        <v>14</v>
      </c>
      <c r="D109" s="1">
        <f t="shared" si="26"/>
        <v>19</v>
      </c>
      <c r="E109" s="1">
        <f t="shared" si="27"/>
        <v>21</v>
      </c>
      <c r="F109" s="3">
        <f t="shared" si="28"/>
        <v>454.75</v>
      </c>
      <c r="G109" s="4">
        <f t="shared" si="29"/>
        <v>2.37</v>
      </c>
      <c r="H109" s="3" t="e">
        <f t="shared" si="30"/>
        <v>#VALUE!</v>
      </c>
      <c r="I109" s="1" t="b">
        <f t="shared" ref="I109:I172" si="31">AND(G108&lt;Threshold,G109&gt;Threshold)</f>
        <v>0</v>
      </c>
      <c r="J109" s="1">
        <f>IF(Table1[[#This Row],[Rising Through Threshold]],Table1[[#This Row],[Start time]],J108)</f>
        <v>429.25</v>
      </c>
      <c r="K109" s="1" t="str">
        <f>IF(AND(Table1[[#This Row],[Rising Through Threshold]],J108&gt;0),J109-J108,"")</f>
        <v/>
      </c>
    </row>
    <row r="110" spans="1:11" x14ac:dyDescent="0.45">
      <c r="A110" s="1" t="s">
        <v>589</v>
      </c>
      <c r="B110" s="1">
        <f t="shared" si="24"/>
        <v>6</v>
      </c>
      <c r="C110" s="1">
        <f t="shared" si="25"/>
        <v>12</v>
      </c>
      <c r="D110" s="1">
        <f t="shared" si="26"/>
        <v>17</v>
      </c>
      <c r="E110" s="1">
        <f t="shared" si="27"/>
        <v>19</v>
      </c>
      <c r="F110" s="3">
        <f t="shared" si="28"/>
        <v>459</v>
      </c>
      <c r="G110" s="4">
        <f t="shared" si="29"/>
        <v>1.41</v>
      </c>
      <c r="H110" s="3" t="e">
        <f t="shared" si="30"/>
        <v>#VALUE!</v>
      </c>
      <c r="I110" s="1" t="b">
        <f t="shared" si="31"/>
        <v>0</v>
      </c>
      <c r="J110" s="1">
        <f>IF(Table1[[#This Row],[Rising Through Threshold]],Table1[[#This Row],[Start time]],J109)</f>
        <v>429.25</v>
      </c>
      <c r="K110" s="1" t="str">
        <f>IF(AND(Table1[[#This Row],[Rising Through Threshold]],J109&gt;0),J110-J109,"")</f>
        <v/>
      </c>
    </row>
    <row r="111" spans="1:11" x14ac:dyDescent="0.45">
      <c r="A111" s="1" t="s">
        <v>590</v>
      </c>
      <c r="B111" s="1">
        <f t="shared" si="24"/>
        <v>6</v>
      </c>
      <c r="C111" s="1">
        <f t="shared" si="25"/>
        <v>14</v>
      </c>
      <c r="D111" s="1">
        <f t="shared" si="26"/>
        <v>19</v>
      </c>
      <c r="E111" s="1">
        <f t="shared" si="27"/>
        <v>21</v>
      </c>
      <c r="F111" s="3">
        <f t="shared" si="28"/>
        <v>463.25</v>
      </c>
      <c r="G111" s="4">
        <f t="shared" si="29"/>
        <v>0.47</v>
      </c>
      <c r="H111" s="3" t="e">
        <f t="shared" si="30"/>
        <v>#VALUE!</v>
      </c>
      <c r="I111" s="1" t="b">
        <f t="shared" si="31"/>
        <v>0</v>
      </c>
      <c r="J111" s="1">
        <f>IF(Table1[[#This Row],[Rising Through Threshold]],Table1[[#This Row],[Start time]],J110)</f>
        <v>429.25</v>
      </c>
      <c r="K111" s="1" t="str">
        <f>IF(AND(Table1[[#This Row],[Rising Through Threshold]],J110&gt;0),J111-J110,"")</f>
        <v/>
      </c>
    </row>
    <row r="112" spans="1:11" x14ac:dyDescent="0.45">
      <c r="A112" s="1" t="s">
        <v>591</v>
      </c>
      <c r="B112" s="1">
        <f t="shared" si="24"/>
        <v>6</v>
      </c>
      <c r="C112" s="1">
        <f t="shared" si="25"/>
        <v>14</v>
      </c>
      <c r="D112" s="1">
        <f t="shared" si="26"/>
        <v>19</v>
      </c>
      <c r="E112" s="1">
        <f t="shared" si="27"/>
        <v>21</v>
      </c>
      <c r="F112" s="3">
        <f t="shared" si="28"/>
        <v>467.5</v>
      </c>
      <c r="G112" s="4">
        <f t="shared" si="29"/>
        <v>0</v>
      </c>
      <c r="H112" s="3" t="e">
        <f t="shared" si="30"/>
        <v>#VALUE!</v>
      </c>
      <c r="I112" s="1" t="b">
        <f t="shared" si="31"/>
        <v>0</v>
      </c>
      <c r="J112" s="1">
        <f>IF(Table1[[#This Row],[Rising Through Threshold]],Table1[[#This Row],[Start time]],J111)</f>
        <v>429.25</v>
      </c>
      <c r="K112" s="1" t="str">
        <f>IF(AND(Table1[[#This Row],[Rising Through Threshold]],J111&gt;0),J112-J111,"")</f>
        <v/>
      </c>
    </row>
    <row r="113" spans="1:11" x14ac:dyDescent="0.45">
      <c r="A113" s="1" t="s">
        <v>592</v>
      </c>
      <c r="B113" s="1">
        <f t="shared" si="24"/>
        <v>6</v>
      </c>
      <c r="C113" s="1">
        <f t="shared" si="25"/>
        <v>14</v>
      </c>
      <c r="D113" s="1">
        <f t="shared" si="26"/>
        <v>19</v>
      </c>
      <c r="E113" s="1">
        <f t="shared" si="27"/>
        <v>21</v>
      </c>
      <c r="F113" s="3">
        <f t="shared" si="28"/>
        <v>471.75</v>
      </c>
      <c r="G113" s="4">
        <f t="shared" si="29"/>
        <v>0.28999999999999998</v>
      </c>
      <c r="H113" s="3" t="e">
        <f t="shared" si="30"/>
        <v>#VALUE!</v>
      </c>
      <c r="I113" s="1" t="b">
        <f t="shared" si="31"/>
        <v>0</v>
      </c>
      <c r="J113" s="1">
        <f>IF(Table1[[#This Row],[Rising Through Threshold]],Table1[[#This Row],[Start time]],J112)</f>
        <v>429.25</v>
      </c>
      <c r="K113" s="1" t="str">
        <f>IF(AND(Table1[[#This Row],[Rising Through Threshold]],J112&gt;0),J113-J112,"")</f>
        <v/>
      </c>
    </row>
    <row r="114" spans="1:11" x14ac:dyDescent="0.45">
      <c r="A114" s="1" t="s">
        <v>593</v>
      </c>
      <c r="B114" s="1">
        <f t="shared" si="24"/>
        <v>6</v>
      </c>
      <c r="C114" s="1">
        <f t="shared" si="25"/>
        <v>12</v>
      </c>
      <c r="D114" s="1">
        <f t="shared" si="26"/>
        <v>17</v>
      </c>
      <c r="E114" s="1">
        <f t="shared" si="27"/>
        <v>19</v>
      </c>
      <c r="F114" s="3">
        <f t="shared" si="28"/>
        <v>476</v>
      </c>
      <c r="G114" s="4">
        <f t="shared" si="29"/>
        <v>0.94</v>
      </c>
      <c r="H114" s="3" t="e">
        <f t="shared" si="30"/>
        <v>#VALUE!</v>
      </c>
      <c r="I114" s="1" t="b">
        <f t="shared" si="31"/>
        <v>0</v>
      </c>
      <c r="J114" s="1">
        <f>IF(Table1[[#This Row],[Rising Through Threshold]],Table1[[#This Row],[Start time]],J113)</f>
        <v>429.25</v>
      </c>
      <c r="K114" s="1" t="str">
        <f>IF(AND(Table1[[#This Row],[Rising Through Threshold]],J113&gt;0),J114-J113,"")</f>
        <v/>
      </c>
    </row>
    <row r="115" spans="1:11" x14ac:dyDescent="0.45">
      <c r="A115" s="1" t="s">
        <v>594</v>
      </c>
      <c r="B115" s="1">
        <f t="shared" si="24"/>
        <v>6</v>
      </c>
      <c r="C115" s="1">
        <f t="shared" si="25"/>
        <v>14</v>
      </c>
      <c r="D115" s="1">
        <f t="shared" si="26"/>
        <v>19</v>
      </c>
      <c r="E115" s="1">
        <f t="shared" si="27"/>
        <v>21</v>
      </c>
      <c r="F115" s="3">
        <f t="shared" si="28"/>
        <v>480.25</v>
      </c>
      <c r="G115" s="4">
        <f t="shared" si="29"/>
        <v>1.63</v>
      </c>
      <c r="H115" s="3" t="e">
        <f t="shared" si="30"/>
        <v>#VALUE!</v>
      </c>
      <c r="I115" s="1" t="b">
        <f t="shared" si="31"/>
        <v>0</v>
      </c>
      <c r="J115" s="1">
        <f>IF(Table1[[#This Row],[Rising Through Threshold]],Table1[[#This Row],[Start time]],J114)</f>
        <v>429.25</v>
      </c>
      <c r="K115" s="1" t="str">
        <f>IF(AND(Table1[[#This Row],[Rising Through Threshold]],J114&gt;0),J115-J114,"")</f>
        <v/>
      </c>
    </row>
    <row r="116" spans="1:11" x14ac:dyDescent="0.45">
      <c r="A116" s="1" t="s">
        <v>595</v>
      </c>
      <c r="B116" s="1">
        <f t="shared" si="24"/>
        <v>6</v>
      </c>
      <c r="C116" s="1">
        <f t="shared" si="25"/>
        <v>14</v>
      </c>
      <c r="D116" s="1">
        <f t="shared" si="26"/>
        <v>19</v>
      </c>
      <c r="E116" s="1">
        <f t="shared" si="27"/>
        <v>21</v>
      </c>
      <c r="F116" s="3">
        <f t="shared" si="28"/>
        <v>484.5</v>
      </c>
      <c r="G116" s="4">
        <f t="shared" si="29"/>
        <v>3.1</v>
      </c>
      <c r="H116" s="3" t="e">
        <f t="shared" si="30"/>
        <v>#VALUE!</v>
      </c>
      <c r="I116" s="1" t="b">
        <f t="shared" si="31"/>
        <v>1</v>
      </c>
      <c r="J116" s="1">
        <f>IF(Table1[[#This Row],[Rising Through Threshold]],Table1[[#This Row],[Start time]],J115)</f>
        <v>484.5</v>
      </c>
      <c r="K116" s="1">
        <f>IF(AND(Table1[[#This Row],[Rising Through Threshold]],J115&gt;0),J116-J115,"")</f>
        <v>55.25</v>
      </c>
    </row>
    <row r="117" spans="1:11" x14ac:dyDescent="0.45">
      <c r="A117" s="1" t="s">
        <v>596</v>
      </c>
      <c r="B117" s="1">
        <f t="shared" si="24"/>
        <v>6</v>
      </c>
      <c r="C117" s="1">
        <f t="shared" si="25"/>
        <v>14</v>
      </c>
      <c r="D117" s="1">
        <f t="shared" si="26"/>
        <v>19</v>
      </c>
      <c r="E117" s="1">
        <f t="shared" si="27"/>
        <v>21</v>
      </c>
      <c r="F117" s="3">
        <f t="shared" si="28"/>
        <v>488.75</v>
      </c>
      <c r="G117" s="4">
        <f t="shared" si="29"/>
        <v>3.57</v>
      </c>
      <c r="H117" s="3" t="e">
        <f t="shared" si="30"/>
        <v>#VALUE!</v>
      </c>
      <c r="I117" s="1" t="b">
        <f t="shared" si="31"/>
        <v>0</v>
      </c>
      <c r="J117" s="1">
        <f>IF(Table1[[#This Row],[Rising Through Threshold]],Table1[[#This Row],[Start time]],J116)</f>
        <v>484.5</v>
      </c>
      <c r="K117" s="1" t="str">
        <f>IF(AND(Table1[[#This Row],[Rising Through Threshold]],J116&gt;0),J117-J116,"")</f>
        <v/>
      </c>
    </row>
    <row r="118" spans="1:11" x14ac:dyDescent="0.45">
      <c r="A118" s="1" t="s">
        <v>597</v>
      </c>
      <c r="B118" s="1">
        <f t="shared" si="24"/>
        <v>6</v>
      </c>
      <c r="C118" s="1">
        <f t="shared" si="25"/>
        <v>12</v>
      </c>
      <c r="D118" s="1">
        <f t="shared" si="26"/>
        <v>17</v>
      </c>
      <c r="E118" s="1">
        <f t="shared" si="27"/>
        <v>19</v>
      </c>
      <c r="F118" s="3">
        <f t="shared" si="28"/>
        <v>493</v>
      </c>
      <c r="G118" s="4">
        <f t="shared" si="29"/>
        <v>4.3099999999999996</v>
      </c>
      <c r="H118" s="3" t="e">
        <f t="shared" si="30"/>
        <v>#VALUE!</v>
      </c>
      <c r="I118" s="1" t="b">
        <f t="shared" si="31"/>
        <v>0</v>
      </c>
      <c r="J118" s="1">
        <f>IF(Table1[[#This Row],[Rising Through Threshold]],Table1[[#This Row],[Start time]],J117)</f>
        <v>484.5</v>
      </c>
      <c r="K118" s="1" t="str">
        <f>IF(AND(Table1[[#This Row],[Rising Through Threshold]],J117&gt;0),J118-J117,"")</f>
        <v/>
      </c>
    </row>
    <row r="119" spans="1:11" x14ac:dyDescent="0.45">
      <c r="A119" s="1" t="s">
        <v>598</v>
      </c>
      <c r="B119" s="1">
        <f t="shared" si="24"/>
        <v>6</v>
      </c>
      <c r="C119" s="1">
        <f t="shared" si="25"/>
        <v>14</v>
      </c>
      <c r="D119" s="1">
        <f t="shared" si="26"/>
        <v>19</v>
      </c>
      <c r="E119" s="1">
        <f t="shared" si="27"/>
        <v>21</v>
      </c>
      <c r="F119" s="3">
        <f t="shared" si="28"/>
        <v>497.25</v>
      </c>
      <c r="G119" s="4">
        <f t="shared" si="29"/>
        <v>5</v>
      </c>
      <c r="H119" s="3" t="e">
        <f t="shared" si="30"/>
        <v>#VALUE!</v>
      </c>
      <c r="I119" s="1" t="b">
        <f t="shared" si="31"/>
        <v>0</v>
      </c>
      <c r="J119" s="1">
        <f>IF(Table1[[#This Row],[Rising Through Threshold]],Table1[[#This Row],[Start time]],J118)</f>
        <v>484.5</v>
      </c>
      <c r="K119" s="1" t="str">
        <f>IF(AND(Table1[[#This Row],[Rising Through Threshold]],J118&gt;0),J119-J118,"")</f>
        <v/>
      </c>
    </row>
    <row r="120" spans="1:11" x14ac:dyDescent="0.45">
      <c r="A120" s="1" t="s">
        <v>599</v>
      </c>
      <c r="B120" s="1">
        <f t="shared" si="24"/>
        <v>6</v>
      </c>
      <c r="C120" s="1">
        <f t="shared" si="25"/>
        <v>14</v>
      </c>
      <c r="D120" s="1">
        <f t="shared" si="26"/>
        <v>19</v>
      </c>
      <c r="E120" s="1">
        <f t="shared" si="27"/>
        <v>21</v>
      </c>
      <c r="F120" s="3">
        <f t="shared" si="28"/>
        <v>501.5</v>
      </c>
      <c r="G120" s="4">
        <f t="shared" si="29"/>
        <v>4.25</v>
      </c>
      <c r="H120" s="3" t="e">
        <f t="shared" si="30"/>
        <v>#VALUE!</v>
      </c>
      <c r="I120" s="1" t="b">
        <f t="shared" si="31"/>
        <v>0</v>
      </c>
      <c r="J120" s="1">
        <f>IF(Table1[[#This Row],[Rising Through Threshold]],Table1[[#This Row],[Start time]],J119)</f>
        <v>484.5</v>
      </c>
      <c r="K120" s="1" t="str">
        <f>IF(AND(Table1[[#This Row],[Rising Through Threshold]],J119&gt;0),J120-J119,"")</f>
        <v/>
      </c>
    </row>
    <row r="121" spans="1:11" x14ac:dyDescent="0.45">
      <c r="A121" s="1" t="s">
        <v>600</v>
      </c>
      <c r="B121" s="1">
        <f t="shared" ref="B121:B184" si="32">FIND(":",$A121,1)</f>
        <v>6</v>
      </c>
      <c r="C121" s="1">
        <f t="shared" ref="C121:C184" si="33">FIND(":",$A121,B121+1)</f>
        <v>14</v>
      </c>
      <c r="D121" s="1">
        <f t="shared" ref="D121:D184" si="34">FIND(":",$A121,C121+1)</f>
        <v>19</v>
      </c>
      <c r="E121" s="1">
        <f t="shared" ref="E121:E184" si="35">FIND(":",$A121,D121+1)</f>
        <v>21</v>
      </c>
      <c r="F121" s="3">
        <f t="shared" ref="F121:F184" si="36">_xlfn.NUMBERVALUE(MID($A121,B121+1,C121-B121-1))</f>
        <v>505.75</v>
      </c>
      <c r="G121" s="4">
        <f t="shared" ref="G121:G184" si="37">_xlfn.NUMBERVALUE(MID($A121,C121+1,D121-C121-1))</f>
        <v>3.35</v>
      </c>
      <c r="H121" s="3" t="e">
        <f t="shared" ref="H121:H184" si="38">_xlfn.NUMBERVALUE(MID($A121,E121+1,1000))</f>
        <v>#VALUE!</v>
      </c>
      <c r="I121" s="1" t="b">
        <f t="shared" si="31"/>
        <v>0</v>
      </c>
      <c r="J121" s="1">
        <f>IF(Table1[[#This Row],[Rising Through Threshold]],Table1[[#This Row],[Start time]],J120)</f>
        <v>484.5</v>
      </c>
      <c r="K121" s="1" t="str">
        <f>IF(AND(Table1[[#This Row],[Rising Through Threshold]],J120&gt;0),J121-J120,"")</f>
        <v/>
      </c>
    </row>
    <row r="122" spans="1:11" x14ac:dyDescent="0.45">
      <c r="A122" s="1" t="s">
        <v>601</v>
      </c>
      <c r="B122" s="1">
        <f t="shared" si="32"/>
        <v>6</v>
      </c>
      <c r="C122" s="1">
        <f t="shared" si="33"/>
        <v>12</v>
      </c>
      <c r="D122" s="1">
        <f t="shared" si="34"/>
        <v>17</v>
      </c>
      <c r="E122" s="1">
        <f t="shared" si="35"/>
        <v>19</v>
      </c>
      <c r="F122" s="3">
        <f t="shared" si="36"/>
        <v>510</v>
      </c>
      <c r="G122" s="4">
        <f t="shared" si="37"/>
        <v>1.49</v>
      </c>
      <c r="H122" s="3" t="e">
        <f t="shared" si="38"/>
        <v>#VALUE!</v>
      </c>
      <c r="I122" s="1" t="b">
        <f t="shared" si="31"/>
        <v>0</v>
      </c>
      <c r="J122" s="1">
        <f>IF(Table1[[#This Row],[Rising Through Threshold]],Table1[[#This Row],[Start time]],J121)</f>
        <v>484.5</v>
      </c>
      <c r="K122" s="1" t="str">
        <f>IF(AND(Table1[[#This Row],[Rising Through Threshold]],J121&gt;0),J122-J121,"")</f>
        <v/>
      </c>
    </row>
    <row r="123" spans="1:11" x14ac:dyDescent="0.45">
      <c r="A123" s="1" t="s">
        <v>602</v>
      </c>
      <c r="B123" s="1">
        <f t="shared" si="32"/>
        <v>6</v>
      </c>
      <c r="C123" s="1">
        <f t="shared" si="33"/>
        <v>14</v>
      </c>
      <c r="D123" s="1">
        <f t="shared" si="34"/>
        <v>19</v>
      </c>
      <c r="E123" s="1">
        <f t="shared" si="35"/>
        <v>21</v>
      </c>
      <c r="F123" s="3">
        <f t="shared" si="36"/>
        <v>514.25</v>
      </c>
      <c r="G123" s="4">
        <f t="shared" si="37"/>
        <v>0.55000000000000004</v>
      </c>
      <c r="H123" s="3" t="e">
        <f t="shared" si="38"/>
        <v>#VALUE!</v>
      </c>
      <c r="I123" s="1" t="b">
        <f t="shared" si="31"/>
        <v>0</v>
      </c>
      <c r="J123" s="1">
        <f>IF(Table1[[#This Row],[Rising Through Threshold]],Table1[[#This Row],[Start time]],J122)</f>
        <v>484.5</v>
      </c>
      <c r="K123" s="1" t="str">
        <f>IF(AND(Table1[[#This Row],[Rising Through Threshold]],J122&gt;0),J123-J122,"")</f>
        <v/>
      </c>
    </row>
    <row r="124" spans="1:11" x14ac:dyDescent="0.45">
      <c r="A124" s="1" t="s">
        <v>603</v>
      </c>
      <c r="B124" s="1">
        <f t="shared" si="32"/>
        <v>6</v>
      </c>
      <c r="C124" s="1">
        <f t="shared" si="33"/>
        <v>14</v>
      </c>
      <c r="D124" s="1">
        <f t="shared" si="34"/>
        <v>19</v>
      </c>
      <c r="E124" s="1">
        <f t="shared" si="35"/>
        <v>21</v>
      </c>
      <c r="F124" s="3">
        <f t="shared" si="36"/>
        <v>518.5</v>
      </c>
      <c r="G124" s="4">
        <f t="shared" si="37"/>
        <v>0</v>
      </c>
      <c r="H124" s="3" t="e">
        <f t="shared" si="38"/>
        <v>#VALUE!</v>
      </c>
      <c r="I124" s="1" t="b">
        <f t="shared" si="31"/>
        <v>0</v>
      </c>
      <c r="J124" s="1">
        <f>IF(Table1[[#This Row],[Rising Through Threshold]],Table1[[#This Row],[Start time]],J123)</f>
        <v>484.5</v>
      </c>
      <c r="K124" s="1" t="str">
        <f>IF(AND(Table1[[#This Row],[Rising Through Threshold]],J123&gt;0),J124-J123,"")</f>
        <v/>
      </c>
    </row>
    <row r="125" spans="1:11" x14ac:dyDescent="0.45">
      <c r="A125" s="1" t="s">
        <v>604</v>
      </c>
      <c r="B125" s="1">
        <f t="shared" si="32"/>
        <v>6</v>
      </c>
      <c r="C125" s="1">
        <f t="shared" si="33"/>
        <v>14</v>
      </c>
      <c r="D125" s="1">
        <f t="shared" si="34"/>
        <v>19</v>
      </c>
      <c r="E125" s="1">
        <f t="shared" si="35"/>
        <v>21</v>
      </c>
      <c r="F125" s="3">
        <f t="shared" si="36"/>
        <v>522.75</v>
      </c>
      <c r="G125" s="4">
        <f t="shared" si="37"/>
        <v>0</v>
      </c>
      <c r="H125" s="3" t="e">
        <f t="shared" si="38"/>
        <v>#VALUE!</v>
      </c>
      <c r="I125" s="1" t="b">
        <f t="shared" si="31"/>
        <v>0</v>
      </c>
      <c r="J125" s="1">
        <f>IF(Table1[[#This Row],[Rising Through Threshold]],Table1[[#This Row],[Start time]],J124)</f>
        <v>484.5</v>
      </c>
      <c r="K125" s="1" t="str">
        <f>IF(AND(Table1[[#This Row],[Rising Through Threshold]],J124&gt;0),J125-J124,"")</f>
        <v/>
      </c>
    </row>
    <row r="126" spans="1:11" x14ac:dyDescent="0.45">
      <c r="A126" s="1" t="s">
        <v>605</v>
      </c>
      <c r="B126" s="1">
        <f t="shared" si="32"/>
        <v>6</v>
      </c>
      <c r="C126" s="1">
        <f t="shared" si="33"/>
        <v>12</v>
      </c>
      <c r="D126" s="1">
        <f t="shared" si="34"/>
        <v>17</v>
      </c>
      <c r="E126" s="1">
        <f t="shared" si="35"/>
        <v>19</v>
      </c>
      <c r="F126" s="3">
        <f t="shared" si="36"/>
        <v>527</v>
      </c>
      <c r="G126" s="4">
        <f t="shared" si="37"/>
        <v>0.86</v>
      </c>
      <c r="H126" s="3" t="e">
        <f t="shared" si="38"/>
        <v>#VALUE!</v>
      </c>
      <c r="I126" s="1" t="b">
        <f t="shared" si="31"/>
        <v>0</v>
      </c>
      <c r="J126" s="1">
        <f>IF(Table1[[#This Row],[Rising Through Threshold]],Table1[[#This Row],[Start time]],J125)</f>
        <v>484.5</v>
      </c>
      <c r="K126" s="1" t="str">
        <f>IF(AND(Table1[[#This Row],[Rising Through Threshold]],J125&gt;0),J126-J125,"")</f>
        <v/>
      </c>
    </row>
    <row r="127" spans="1:11" x14ac:dyDescent="0.45">
      <c r="A127" s="1" t="s">
        <v>606</v>
      </c>
      <c r="B127" s="1">
        <f t="shared" si="32"/>
        <v>6</v>
      </c>
      <c r="C127" s="1">
        <f t="shared" si="33"/>
        <v>14</v>
      </c>
      <c r="D127" s="1">
        <f t="shared" si="34"/>
        <v>19</v>
      </c>
      <c r="E127" s="1">
        <f t="shared" si="35"/>
        <v>21</v>
      </c>
      <c r="F127" s="3">
        <f t="shared" si="36"/>
        <v>531.25</v>
      </c>
      <c r="G127" s="4">
        <f t="shared" si="37"/>
        <v>1.59</v>
      </c>
      <c r="H127" s="3" t="e">
        <f t="shared" si="38"/>
        <v>#VALUE!</v>
      </c>
      <c r="I127" s="1" t="b">
        <f t="shared" si="31"/>
        <v>0</v>
      </c>
      <c r="J127" s="1">
        <f>IF(Table1[[#This Row],[Rising Through Threshold]],Table1[[#This Row],[Start time]],J126)</f>
        <v>484.5</v>
      </c>
      <c r="K127" s="1" t="str">
        <f>IF(AND(Table1[[#This Row],[Rising Through Threshold]],J126&gt;0),J127-J126,"")</f>
        <v/>
      </c>
    </row>
    <row r="128" spans="1:11" x14ac:dyDescent="0.45">
      <c r="A128" s="1" t="s">
        <v>607</v>
      </c>
      <c r="B128" s="1">
        <f t="shared" si="32"/>
        <v>6</v>
      </c>
      <c r="C128" s="1">
        <f t="shared" si="33"/>
        <v>14</v>
      </c>
      <c r="D128" s="1">
        <f t="shared" si="34"/>
        <v>19</v>
      </c>
      <c r="E128" s="1">
        <f t="shared" si="35"/>
        <v>21</v>
      </c>
      <c r="F128" s="3">
        <f t="shared" si="36"/>
        <v>535.5</v>
      </c>
      <c r="G128" s="4">
        <f t="shared" si="37"/>
        <v>2.35</v>
      </c>
      <c r="H128" s="3" t="e">
        <f t="shared" si="38"/>
        <v>#VALUE!</v>
      </c>
      <c r="I128" s="1" t="b">
        <f t="shared" si="31"/>
        <v>0</v>
      </c>
      <c r="J128" s="1">
        <f>IF(Table1[[#This Row],[Rising Through Threshold]],Table1[[#This Row],[Start time]],J127)</f>
        <v>484.5</v>
      </c>
      <c r="K128" s="1" t="str">
        <f>IF(AND(Table1[[#This Row],[Rising Through Threshold]],J127&gt;0),J128-J127,"")</f>
        <v/>
      </c>
    </row>
    <row r="129" spans="1:11" x14ac:dyDescent="0.45">
      <c r="A129" s="1" t="s">
        <v>608</v>
      </c>
      <c r="B129" s="1">
        <f t="shared" si="32"/>
        <v>6</v>
      </c>
      <c r="C129" s="1">
        <f t="shared" si="33"/>
        <v>14</v>
      </c>
      <c r="D129" s="1">
        <f t="shared" si="34"/>
        <v>19</v>
      </c>
      <c r="E129" s="1">
        <f t="shared" si="35"/>
        <v>21</v>
      </c>
      <c r="F129" s="3">
        <f t="shared" si="36"/>
        <v>539.75</v>
      </c>
      <c r="G129" s="4">
        <f t="shared" si="37"/>
        <v>3.51</v>
      </c>
      <c r="H129" s="3" t="e">
        <f t="shared" si="38"/>
        <v>#VALUE!</v>
      </c>
      <c r="I129" s="1" t="b">
        <f t="shared" si="31"/>
        <v>1</v>
      </c>
      <c r="J129" s="1">
        <f>IF(Table1[[#This Row],[Rising Through Threshold]],Table1[[#This Row],[Start time]],J128)</f>
        <v>539.75</v>
      </c>
      <c r="K129" s="1">
        <f>IF(AND(Table1[[#This Row],[Rising Through Threshold]],J128&gt;0),J129-J128,"")</f>
        <v>55.25</v>
      </c>
    </row>
    <row r="130" spans="1:11" x14ac:dyDescent="0.45">
      <c r="A130" s="1" t="s">
        <v>609</v>
      </c>
      <c r="B130" s="1">
        <f t="shared" si="32"/>
        <v>6</v>
      </c>
      <c r="C130" s="1">
        <f t="shared" si="33"/>
        <v>12</v>
      </c>
      <c r="D130" s="1">
        <f t="shared" si="34"/>
        <v>17</v>
      </c>
      <c r="E130" s="1">
        <f t="shared" si="35"/>
        <v>19</v>
      </c>
      <c r="F130" s="3">
        <f t="shared" si="36"/>
        <v>544</v>
      </c>
      <c r="G130" s="4">
        <f t="shared" si="37"/>
        <v>4.24</v>
      </c>
      <c r="H130" s="3" t="e">
        <f t="shared" si="38"/>
        <v>#VALUE!</v>
      </c>
      <c r="I130" s="1" t="b">
        <f t="shared" si="31"/>
        <v>0</v>
      </c>
      <c r="J130" s="1">
        <f>IF(Table1[[#This Row],[Rising Through Threshold]],Table1[[#This Row],[Start time]],J129)</f>
        <v>539.75</v>
      </c>
      <c r="K130" s="1" t="str">
        <f>IF(AND(Table1[[#This Row],[Rising Through Threshold]],J129&gt;0),J130-J129,"")</f>
        <v/>
      </c>
    </row>
    <row r="131" spans="1:11" x14ac:dyDescent="0.45">
      <c r="A131" s="1" t="s">
        <v>610</v>
      </c>
      <c r="B131" s="1">
        <f t="shared" si="32"/>
        <v>6</v>
      </c>
      <c r="C131" s="1">
        <f t="shared" si="33"/>
        <v>14</v>
      </c>
      <c r="D131" s="1">
        <f t="shared" si="34"/>
        <v>19</v>
      </c>
      <c r="E131" s="1">
        <f t="shared" si="35"/>
        <v>21</v>
      </c>
      <c r="F131" s="3">
        <f t="shared" si="36"/>
        <v>548.25</v>
      </c>
      <c r="G131" s="4">
        <f t="shared" si="37"/>
        <v>5</v>
      </c>
      <c r="H131" s="3" t="e">
        <f t="shared" si="38"/>
        <v>#VALUE!</v>
      </c>
      <c r="I131" s="1" t="b">
        <f t="shared" si="31"/>
        <v>0</v>
      </c>
      <c r="J131" s="1">
        <f>IF(Table1[[#This Row],[Rising Through Threshold]],Table1[[#This Row],[Start time]],J130)</f>
        <v>539.75</v>
      </c>
      <c r="K131" s="1" t="str">
        <f>IF(AND(Table1[[#This Row],[Rising Through Threshold]],J130&gt;0),J131-J130,"")</f>
        <v/>
      </c>
    </row>
    <row r="132" spans="1:11" x14ac:dyDescent="0.45">
      <c r="A132" s="1" t="s">
        <v>611</v>
      </c>
      <c r="B132" s="1">
        <f t="shared" si="32"/>
        <v>6</v>
      </c>
      <c r="C132" s="1">
        <f t="shared" si="33"/>
        <v>14</v>
      </c>
      <c r="D132" s="1">
        <f t="shared" si="34"/>
        <v>19</v>
      </c>
      <c r="E132" s="1">
        <f t="shared" si="35"/>
        <v>21</v>
      </c>
      <c r="F132" s="3">
        <f t="shared" si="36"/>
        <v>552.5</v>
      </c>
      <c r="G132" s="4">
        <f t="shared" si="37"/>
        <v>5</v>
      </c>
      <c r="H132" s="3" t="e">
        <f t="shared" si="38"/>
        <v>#VALUE!</v>
      </c>
      <c r="I132" s="1" t="b">
        <f t="shared" si="31"/>
        <v>0</v>
      </c>
      <c r="J132" s="1">
        <f>IF(Table1[[#This Row],[Rising Through Threshold]],Table1[[#This Row],[Start time]],J131)</f>
        <v>539.75</v>
      </c>
      <c r="K132" s="1" t="str">
        <f>IF(AND(Table1[[#This Row],[Rising Through Threshold]],J131&gt;0),J132-J131,"")</f>
        <v/>
      </c>
    </row>
    <row r="133" spans="1:11" x14ac:dyDescent="0.45">
      <c r="A133" s="1" t="s">
        <v>612</v>
      </c>
      <c r="B133" s="1">
        <f t="shared" si="32"/>
        <v>6</v>
      </c>
      <c r="C133" s="1">
        <f t="shared" si="33"/>
        <v>14</v>
      </c>
      <c r="D133" s="1">
        <f t="shared" si="34"/>
        <v>19</v>
      </c>
      <c r="E133" s="1">
        <f t="shared" si="35"/>
        <v>21</v>
      </c>
      <c r="F133" s="3">
        <f t="shared" si="36"/>
        <v>556.75</v>
      </c>
      <c r="G133" s="4">
        <f t="shared" si="37"/>
        <v>3.45</v>
      </c>
      <c r="H133" s="3" t="e">
        <f t="shared" si="38"/>
        <v>#VALUE!</v>
      </c>
      <c r="I133" s="1" t="b">
        <f t="shared" si="31"/>
        <v>0</v>
      </c>
      <c r="J133" s="1">
        <f>IF(Table1[[#This Row],[Rising Through Threshold]],Table1[[#This Row],[Start time]],J132)</f>
        <v>539.75</v>
      </c>
      <c r="K133" s="1" t="str">
        <f>IF(AND(Table1[[#This Row],[Rising Through Threshold]],J132&gt;0),J133-J132,"")</f>
        <v/>
      </c>
    </row>
    <row r="134" spans="1:11" x14ac:dyDescent="0.45">
      <c r="A134" s="1" t="s">
        <v>613</v>
      </c>
      <c r="B134" s="1">
        <f t="shared" si="32"/>
        <v>6</v>
      </c>
      <c r="C134" s="1">
        <f t="shared" si="33"/>
        <v>12</v>
      </c>
      <c r="D134" s="1">
        <f t="shared" si="34"/>
        <v>17</v>
      </c>
      <c r="E134" s="1">
        <f t="shared" si="35"/>
        <v>19</v>
      </c>
      <c r="F134" s="3">
        <f t="shared" si="36"/>
        <v>561</v>
      </c>
      <c r="G134" s="4">
        <f t="shared" si="37"/>
        <v>2.5099999999999998</v>
      </c>
      <c r="H134" s="3" t="e">
        <f t="shared" si="38"/>
        <v>#VALUE!</v>
      </c>
      <c r="I134" s="1" t="b">
        <f t="shared" si="31"/>
        <v>0</v>
      </c>
      <c r="J134" s="1">
        <f>IF(Table1[[#This Row],[Rising Through Threshold]],Table1[[#This Row],[Start time]],J133)</f>
        <v>539.75</v>
      </c>
      <c r="K134" s="1" t="str">
        <f>IF(AND(Table1[[#This Row],[Rising Through Threshold]],J133&gt;0),J134-J133,"")</f>
        <v/>
      </c>
    </row>
    <row r="135" spans="1:11" x14ac:dyDescent="0.45">
      <c r="A135" s="1" t="s">
        <v>614</v>
      </c>
      <c r="B135" s="1">
        <f t="shared" si="32"/>
        <v>6</v>
      </c>
      <c r="C135" s="1">
        <f t="shared" si="33"/>
        <v>14</v>
      </c>
      <c r="D135" s="1">
        <f t="shared" si="34"/>
        <v>19</v>
      </c>
      <c r="E135" s="1">
        <f t="shared" si="35"/>
        <v>21</v>
      </c>
      <c r="F135" s="3">
        <f t="shared" si="36"/>
        <v>565.25</v>
      </c>
      <c r="G135" s="4">
        <f t="shared" si="37"/>
        <v>1.55</v>
      </c>
      <c r="H135" s="3" t="e">
        <f t="shared" si="38"/>
        <v>#VALUE!</v>
      </c>
      <c r="I135" s="1" t="b">
        <f t="shared" si="31"/>
        <v>0</v>
      </c>
      <c r="J135" s="1">
        <f>IF(Table1[[#This Row],[Rising Through Threshold]],Table1[[#This Row],[Start time]],J134)</f>
        <v>539.75</v>
      </c>
      <c r="K135" s="1" t="str">
        <f>IF(AND(Table1[[#This Row],[Rising Through Threshold]],J134&gt;0),J135-J134,"")</f>
        <v/>
      </c>
    </row>
    <row r="136" spans="1:11" x14ac:dyDescent="0.45">
      <c r="A136" s="1" t="s">
        <v>615</v>
      </c>
      <c r="B136" s="1">
        <f t="shared" si="32"/>
        <v>6</v>
      </c>
      <c r="C136" s="1">
        <f t="shared" si="33"/>
        <v>14</v>
      </c>
      <c r="D136" s="1">
        <f t="shared" si="34"/>
        <v>19</v>
      </c>
      <c r="E136" s="1">
        <f t="shared" si="35"/>
        <v>21</v>
      </c>
      <c r="F136" s="3">
        <f t="shared" si="36"/>
        <v>569.5</v>
      </c>
      <c r="G136" s="4">
        <f t="shared" si="37"/>
        <v>0</v>
      </c>
      <c r="H136" s="3" t="e">
        <f t="shared" si="38"/>
        <v>#VALUE!</v>
      </c>
      <c r="I136" s="1" t="b">
        <f t="shared" si="31"/>
        <v>0</v>
      </c>
      <c r="J136" s="1">
        <f>IF(Table1[[#This Row],[Rising Through Threshold]],Table1[[#This Row],[Start time]],J135)</f>
        <v>539.75</v>
      </c>
      <c r="K136" s="1" t="str">
        <f>IF(AND(Table1[[#This Row],[Rising Through Threshold]],J135&gt;0),J136-J135,"")</f>
        <v/>
      </c>
    </row>
    <row r="137" spans="1:11" x14ac:dyDescent="0.45">
      <c r="A137" s="1" t="s">
        <v>481</v>
      </c>
      <c r="B137" s="1">
        <f t="shared" si="32"/>
        <v>6</v>
      </c>
      <c r="C137" s="1">
        <f t="shared" si="33"/>
        <v>14</v>
      </c>
      <c r="D137" s="1">
        <f t="shared" si="34"/>
        <v>19</v>
      </c>
      <c r="E137" s="1">
        <f t="shared" si="35"/>
        <v>21</v>
      </c>
      <c r="F137" s="3">
        <f t="shared" si="36"/>
        <v>573.75</v>
      </c>
      <c r="G137" s="4">
        <f t="shared" si="37"/>
        <v>0</v>
      </c>
      <c r="H137" s="3" t="e">
        <f t="shared" si="38"/>
        <v>#VALUE!</v>
      </c>
      <c r="I137" s="1" t="b">
        <f t="shared" si="31"/>
        <v>0</v>
      </c>
      <c r="J137" s="1">
        <f>IF(Table1[[#This Row],[Rising Through Threshold]],Table1[[#This Row],[Start time]],J136)</f>
        <v>539.75</v>
      </c>
      <c r="K137" s="1" t="str">
        <f>IF(AND(Table1[[#This Row],[Rising Through Threshold]],J136&gt;0),J137-J136,"")</f>
        <v/>
      </c>
    </row>
    <row r="138" spans="1:11" x14ac:dyDescent="0.45">
      <c r="A138" s="1" t="s">
        <v>616</v>
      </c>
      <c r="B138" s="1">
        <f t="shared" si="32"/>
        <v>6</v>
      </c>
      <c r="C138" s="1">
        <f t="shared" si="33"/>
        <v>12</v>
      </c>
      <c r="D138" s="1">
        <f t="shared" si="34"/>
        <v>17</v>
      </c>
      <c r="E138" s="1">
        <f t="shared" si="35"/>
        <v>19</v>
      </c>
      <c r="F138" s="3">
        <f t="shared" si="36"/>
        <v>578</v>
      </c>
      <c r="G138" s="4">
        <f t="shared" si="37"/>
        <v>0.24</v>
      </c>
      <c r="H138" s="3" t="e">
        <f t="shared" si="38"/>
        <v>#VALUE!</v>
      </c>
      <c r="I138" s="1" t="b">
        <f t="shared" si="31"/>
        <v>0</v>
      </c>
      <c r="J138" s="1">
        <f>IF(Table1[[#This Row],[Rising Through Threshold]],Table1[[#This Row],[Start time]],J137)</f>
        <v>539.75</v>
      </c>
      <c r="K138" s="1" t="str">
        <f>IF(AND(Table1[[#This Row],[Rising Through Threshold]],J137&gt;0),J138-J137,"")</f>
        <v/>
      </c>
    </row>
    <row r="139" spans="1:11" x14ac:dyDescent="0.45">
      <c r="A139" s="1" t="s">
        <v>617</v>
      </c>
      <c r="B139" s="1">
        <f t="shared" si="32"/>
        <v>6</v>
      </c>
      <c r="C139" s="1">
        <f t="shared" si="33"/>
        <v>14</v>
      </c>
      <c r="D139" s="1">
        <f t="shared" si="34"/>
        <v>19</v>
      </c>
      <c r="E139" s="1">
        <f t="shared" si="35"/>
        <v>21</v>
      </c>
      <c r="F139" s="3">
        <f t="shared" si="36"/>
        <v>582.25</v>
      </c>
      <c r="G139" s="4">
        <f t="shared" si="37"/>
        <v>1.55</v>
      </c>
      <c r="H139" s="3" t="e">
        <f t="shared" si="38"/>
        <v>#VALUE!</v>
      </c>
      <c r="I139" s="1" t="b">
        <f t="shared" si="31"/>
        <v>0</v>
      </c>
      <c r="J139" s="1">
        <f>IF(Table1[[#This Row],[Rising Through Threshold]],Table1[[#This Row],[Start time]],J138)</f>
        <v>539.75</v>
      </c>
      <c r="K139" s="1" t="str">
        <f>IF(AND(Table1[[#This Row],[Rising Through Threshold]],J138&gt;0),J139-J138,"")</f>
        <v/>
      </c>
    </row>
    <row r="140" spans="1:11" x14ac:dyDescent="0.45">
      <c r="A140" s="1" t="s">
        <v>618</v>
      </c>
      <c r="B140" s="1">
        <f t="shared" si="32"/>
        <v>6</v>
      </c>
      <c r="C140" s="1">
        <f t="shared" si="33"/>
        <v>14</v>
      </c>
      <c r="D140" s="1">
        <f t="shared" si="34"/>
        <v>19</v>
      </c>
      <c r="E140" s="1">
        <f t="shared" si="35"/>
        <v>21</v>
      </c>
      <c r="F140" s="3">
        <f t="shared" si="36"/>
        <v>586.5</v>
      </c>
      <c r="G140" s="4">
        <f t="shared" si="37"/>
        <v>2.33</v>
      </c>
      <c r="H140" s="3" t="e">
        <f t="shared" si="38"/>
        <v>#VALUE!</v>
      </c>
      <c r="I140" s="1" t="b">
        <f t="shared" si="31"/>
        <v>0</v>
      </c>
      <c r="J140" s="1">
        <f>IF(Table1[[#This Row],[Rising Through Threshold]],Table1[[#This Row],[Start time]],J139)</f>
        <v>539.75</v>
      </c>
      <c r="K140" s="1" t="str">
        <f>IF(AND(Table1[[#This Row],[Rising Through Threshold]],J139&gt;0),J140-J139,"")</f>
        <v/>
      </c>
    </row>
    <row r="141" spans="1:11" x14ac:dyDescent="0.45">
      <c r="A141" s="1" t="s">
        <v>619</v>
      </c>
      <c r="B141" s="1">
        <f t="shared" si="32"/>
        <v>6</v>
      </c>
      <c r="C141" s="1">
        <f t="shared" si="33"/>
        <v>14</v>
      </c>
      <c r="D141" s="1">
        <f t="shared" si="34"/>
        <v>19</v>
      </c>
      <c r="E141" s="1">
        <f t="shared" si="35"/>
        <v>21</v>
      </c>
      <c r="F141" s="3">
        <f t="shared" si="36"/>
        <v>590.75</v>
      </c>
      <c r="G141" s="4">
        <f t="shared" si="37"/>
        <v>3</v>
      </c>
      <c r="H141" s="3" t="e">
        <f t="shared" si="38"/>
        <v>#VALUE!</v>
      </c>
      <c r="I141" s="1" t="b">
        <f t="shared" si="31"/>
        <v>1</v>
      </c>
      <c r="J141" s="1">
        <f>IF(Table1[[#This Row],[Rising Through Threshold]],Table1[[#This Row],[Start time]],J140)</f>
        <v>590.75</v>
      </c>
      <c r="K141" s="1">
        <f>IF(AND(Table1[[#This Row],[Rising Through Threshold]],J140&gt;0),J141-J140,"")</f>
        <v>51</v>
      </c>
    </row>
    <row r="142" spans="1:11" x14ac:dyDescent="0.45">
      <c r="A142" s="1" t="s">
        <v>620</v>
      </c>
      <c r="B142" s="1">
        <f t="shared" si="32"/>
        <v>6</v>
      </c>
      <c r="C142" s="1">
        <f t="shared" si="33"/>
        <v>12</v>
      </c>
      <c r="D142" s="1">
        <f t="shared" si="34"/>
        <v>17</v>
      </c>
      <c r="E142" s="1">
        <f t="shared" si="35"/>
        <v>19</v>
      </c>
      <c r="F142" s="3">
        <f t="shared" si="36"/>
        <v>595</v>
      </c>
      <c r="G142" s="4">
        <f t="shared" si="37"/>
        <v>3.51</v>
      </c>
      <c r="H142" s="3" t="e">
        <f t="shared" si="38"/>
        <v>#VALUE!</v>
      </c>
      <c r="I142" s="1" t="b">
        <f t="shared" si="31"/>
        <v>0</v>
      </c>
      <c r="J142" s="1">
        <f>IF(Table1[[#This Row],[Rising Through Threshold]],Table1[[#This Row],[Start time]],J141)</f>
        <v>590.75</v>
      </c>
      <c r="K142" s="1" t="str">
        <f>IF(AND(Table1[[#This Row],[Rising Through Threshold]],J141&gt;0),J142-J141,"")</f>
        <v/>
      </c>
    </row>
    <row r="143" spans="1:11" x14ac:dyDescent="0.45">
      <c r="A143" s="1" t="s">
        <v>482</v>
      </c>
      <c r="B143" s="1">
        <f t="shared" si="32"/>
        <v>6</v>
      </c>
      <c r="C143" s="1">
        <f t="shared" si="33"/>
        <v>14</v>
      </c>
      <c r="D143" s="1">
        <f t="shared" si="34"/>
        <v>19</v>
      </c>
      <c r="E143" s="1">
        <f t="shared" si="35"/>
        <v>21</v>
      </c>
      <c r="F143" s="3">
        <f t="shared" si="36"/>
        <v>599.25</v>
      </c>
      <c r="G143" s="4">
        <f t="shared" si="37"/>
        <v>5</v>
      </c>
      <c r="H143" s="3" t="e">
        <f t="shared" si="38"/>
        <v>#VALUE!</v>
      </c>
      <c r="I143" s="1" t="b">
        <f t="shared" si="31"/>
        <v>0</v>
      </c>
      <c r="J143" s="1">
        <f>IF(Table1[[#This Row],[Rising Through Threshold]],Table1[[#This Row],[Start time]],J142)</f>
        <v>590.75</v>
      </c>
      <c r="K143" s="1" t="str">
        <f>IF(AND(Table1[[#This Row],[Rising Through Threshold]],J142&gt;0),J143-J142,"")</f>
        <v/>
      </c>
    </row>
    <row r="144" spans="1:11" x14ac:dyDescent="0.45">
      <c r="A144" s="1" t="s">
        <v>472</v>
      </c>
      <c r="B144" s="1">
        <f t="shared" si="32"/>
        <v>6</v>
      </c>
      <c r="C144" s="1">
        <f t="shared" si="33"/>
        <v>14</v>
      </c>
      <c r="D144" s="1">
        <f t="shared" si="34"/>
        <v>19</v>
      </c>
      <c r="E144" s="1">
        <f t="shared" si="35"/>
        <v>21</v>
      </c>
      <c r="F144" s="3">
        <f t="shared" si="36"/>
        <v>603.5</v>
      </c>
      <c r="G144" s="4">
        <f t="shared" si="37"/>
        <v>5</v>
      </c>
      <c r="H144" s="3" t="e">
        <f t="shared" si="38"/>
        <v>#VALUE!</v>
      </c>
      <c r="I144" s="1" t="b">
        <f t="shared" si="31"/>
        <v>0</v>
      </c>
      <c r="J144" s="1">
        <f>IF(Table1[[#This Row],[Rising Through Threshold]],Table1[[#This Row],[Start time]],J143)</f>
        <v>590.75</v>
      </c>
      <c r="K144" s="1" t="str">
        <f>IF(AND(Table1[[#This Row],[Rising Through Threshold]],J143&gt;0),J144-J143,"")</f>
        <v/>
      </c>
    </row>
    <row r="145" spans="1:11" x14ac:dyDescent="0.45">
      <c r="A145" s="1" t="s">
        <v>473</v>
      </c>
      <c r="B145" s="1">
        <f t="shared" si="32"/>
        <v>6</v>
      </c>
      <c r="C145" s="1">
        <f t="shared" si="33"/>
        <v>14</v>
      </c>
      <c r="D145" s="1">
        <f t="shared" si="34"/>
        <v>19</v>
      </c>
      <c r="E145" s="1">
        <f t="shared" si="35"/>
        <v>21</v>
      </c>
      <c r="F145" s="3">
        <f t="shared" si="36"/>
        <v>607.75</v>
      </c>
      <c r="G145" s="4">
        <f t="shared" si="37"/>
        <v>4.3899999999999997</v>
      </c>
      <c r="H145" s="3" t="e">
        <f t="shared" si="38"/>
        <v>#VALUE!</v>
      </c>
      <c r="I145" s="1" t="b">
        <f t="shared" si="31"/>
        <v>0</v>
      </c>
      <c r="J145" s="1">
        <f>IF(Table1[[#This Row],[Rising Through Threshold]],Table1[[#This Row],[Start time]],J144)</f>
        <v>590.75</v>
      </c>
      <c r="K145" s="1" t="str">
        <f>IF(AND(Table1[[#This Row],[Rising Through Threshold]],J144&gt;0),J145-J144,"")</f>
        <v/>
      </c>
    </row>
    <row r="146" spans="1:11" x14ac:dyDescent="0.45">
      <c r="A146" s="1" t="s">
        <v>474</v>
      </c>
      <c r="B146" s="1">
        <f t="shared" si="32"/>
        <v>6</v>
      </c>
      <c r="C146" s="1">
        <f t="shared" si="33"/>
        <v>12</v>
      </c>
      <c r="D146" s="1">
        <f t="shared" si="34"/>
        <v>17</v>
      </c>
      <c r="E146" s="1">
        <f t="shared" si="35"/>
        <v>19</v>
      </c>
      <c r="F146" s="3">
        <f t="shared" si="36"/>
        <v>612</v>
      </c>
      <c r="G146" s="4">
        <f t="shared" si="37"/>
        <v>2.5099999999999998</v>
      </c>
      <c r="H146" s="3" t="e">
        <f t="shared" si="38"/>
        <v>#VALUE!</v>
      </c>
      <c r="I146" s="1" t="b">
        <f t="shared" si="31"/>
        <v>0</v>
      </c>
      <c r="J146" s="1">
        <f>IF(Table1[[#This Row],[Rising Through Threshold]],Table1[[#This Row],[Start time]],J145)</f>
        <v>590.75</v>
      </c>
      <c r="K146" s="1" t="str">
        <f>IF(AND(Table1[[#This Row],[Rising Through Threshold]],J145&gt;0),J146-J145,"")</f>
        <v/>
      </c>
    </row>
    <row r="147" spans="1:11" x14ac:dyDescent="0.45">
      <c r="A147" s="1" t="s">
        <v>475</v>
      </c>
      <c r="B147" s="1">
        <f t="shared" si="32"/>
        <v>6</v>
      </c>
      <c r="C147" s="1">
        <f t="shared" si="33"/>
        <v>14</v>
      </c>
      <c r="D147" s="1">
        <f t="shared" si="34"/>
        <v>19</v>
      </c>
      <c r="E147" s="1">
        <f t="shared" si="35"/>
        <v>21</v>
      </c>
      <c r="F147" s="3">
        <f t="shared" si="36"/>
        <v>616.25</v>
      </c>
      <c r="G147" s="4">
        <f t="shared" si="37"/>
        <v>1.55</v>
      </c>
      <c r="H147" s="3" t="e">
        <f t="shared" si="38"/>
        <v>#VALUE!</v>
      </c>
      <c r="I147" s="1" t="b">
        <f t="shared" si="31"/>
        <v>0</v>
      </c>
      <c r="J147" s="1">
        <f>IF(Table1[[#This Row],[Rising Through Threshold]],Table1[[#This Row],[Start time]],J146)</f>
        <v>590.75</v>
      </c>
      <c r="K147" s="1" t="str">
        <f>IF(AND(Table1[[#This Row],[Rising Through Threshold]],J146&gt;0),J147-J146,"")</f>
        <v/>
      </c>
    </row>
    <row r="148" spans="1:11" x14ac:dyDescent="0.45">
      <c r="A148" s="1" t="s">
        <v>476</v>
      </c>
      <c r="B148" s="1">
        <f t="shared" si="32"/>
        <v>6</v>
      </c>
      <c r="C148" s="1">
        <f t="shared" si="33"/>
        <v>14</v>
      </c>
      <c r="D148" s="1">
        <f t="shared" si="34"/>
        <v>19</v>
      </c>
      <c r="E148" s="1">
        <f t="shared" si="35"/>
        <v>21</v>
      </c>
      <c r="F148" s="3">
        <f t="shared" si="36"/>
        <v>620.5</v>
      </c>
      <c r="G148" s="4">
        <f t="shared" si="37"/>
        <v>0.61</v>
      </c>
      <c r="H148" s="3" t="e">
        <f t="shared" si="38"/>
        <v>#VALUE!</v>
      </c>
      <c r="I148" s="1" t="b">
        <f t="shared" si="31"/>
        <v>0</v>
      </c>
      <c r="J148" s="1">
        <f>IF(Table1[[#This Row],[Rising Through Threshold]],Table1[[#This Row],[Start time]],J147)</f>
        <v>590.75</v>
      </c>
      <c r="K148" s="1" t="str">
        <f>IF(AND(Table1[[#This Row],[Rising Through Threshold]],J147&gt;0),J148-J147,"")</f>
        <v/>
      </c>
    </row>
    <row r="149" spans="1:11" x14ac:dyDescent="0.45">
      <c r="A149" s="1" t="s">
        <v>477</v>
      </c>
      <c r="B149" s="1">
        <f t="shared" si="32"/>
        <v>6</v>
      </c>
      <c r="C149" s="1">
        <f t="shared" si="33"/>
        <v>14</v>
      </c>
      <c r="D149" s="1">
        <f t="shared" si="34"/>
        <v>19</v>
      </c>
      <c r="E149" s="1">
        <f t="shared" si="35"/>
        <v>21</v>
      </c>
      <c r="F149" s="3">
        <f t="shared" si="36"/>
        <v>624.75</v>
      </c>
      <c r="G149" s="4">
        <f t="shared" si="37"/>
        <v>0</v>
      </c>
      <c r="H149" s="3" t="e">
        <f t="shared" si="38"/>
        <v>#VALUE!</v>
      </c>
      <c r="I149" s="1" t="b">
        <f t="shared" si="31"/>
        <v>0</v>
      </c>
      <c r="J149" s="1">
        <f>IF(Table1[[#This Row],[Rising Through Threshold]],Table1[[#This Row],[Start time]],J148)</f>
        <v>590.75</v>
      </c>
      <c r="K149" s="1" t="str">
        <f>IF(AND(Table1[[#This Row],[Rising Through Threshold]],J148&gt;0),J149-J148,"")</f>
        <v/>
      </c>
    </row>
    <row r="150" spans="1:11" x14ac:dyDescent="0.45">
      <c r="A150" s="1" t="s">
        <v>621</v>
      </c>
      <c r="B150" s="1">
        <f t="shared" si="32"/>
        <v>6</v>
      </c>
      <c r="C150" s="1">
        <f t="shared" si="33"/>
        <v>12</v>
      </c>
      <c r="D150" s="1">
        <f t="shared" si="34"/>
        <v>17</v>
      </c>
      <c r="E150" s="1">
        <f t="shared" si="35"/>
        <v>19</v>
      </c>
      <c r="F150" s="3">
        <f t="shared" si="36"/>
        <v>629</v>
      </c>
      <c r="G150" s="4">
        <f t="shared" si="37"/>
        <v>0.18</v>
      </c>
      <c r="H150" s="3" t="e">
        <f t="shared" si="38"/>
        <v>#VALUE!</v>
      </c>
      <c r="I150" s="1" t="b">
        <f t="shared" si="31"/>
        <v>0</v>
      </c>
      <c r="J150" s="1">
        <f>IF(Table1[[#This Row],[Rising Through Threshold]],Table1[[#This Row],[Start time]],J149)</f>
        <v>590.75</v>
      </c>
      <c r="K150" s="1" t="str">
        <f>IF(AND(Table1[[#This Row],[Rising Through Threshold]],J149&gt;0),J150-J149,"")</f>
        <v/>
      </c>
    </row>
    <row r="151" spans="1:11" x14ac:dyDescent="0.45">
      <c r="A151" s="1" t="s">
        <v>622</v>
      </c>
      <c r="B151" s="1">
        <f t="shared" si="32"/>
        <v>6</v>
      </c>
      <c r="C151" s="1">
        <f t="shared" si="33"/>
        <v>14</v>
      </c>
      <c r="D151" s="1">
        <f t="shared" si="34"/>
        <v>19</v>
      </c>
      <c r="E151" s="1">
        <f t="shared" si="35"/>
        <v>21</v>
      </c>
      <c r="F151" s="3">
        <f t="shared" si="36"/>
        <v>633.25</v>
      </c>
      <c r="G151" s="4">
        <f t="shared" si="37"/>
        <v>0.76</v>
      </c>
      <c r="H151" s="3" t="e">
        <f t="shared" si="38"/>
        <v>#VALUE!</v>
      </c>
      <c r="I151" s="1" t="b">
        <f t="shared" si="31"/>
        <v>0</v>
      </c>
      <c r="J151" s="1">
        <f>IF(Table1[[#This Row],[Rising Through Threshold]],Table1[[#This Row],[Start time]],J150)</f>
        <v>590.75</v>
      </c>
      <c r="K151" s="1" t="str">
        <f>IF(AND(Table1[[#This Row],[Rising Through Threshold]],J150&gt;0),J151-J150,"")</f>
        <v/>
      </c>
    </row>
    <row r="152" spans="1:11" x14ac:dyDescent="0.45">
      <c r="A152" s="1" t="s">
        <v>623</v>
      </c>
      <c r="B152" s="1">
        <f t="shared" si="32"/>
        <v>6</v>
      </c>
      <c r="C152" s="1">
        <f t="shared" si="33"/>
        <v>14</v>
      </c>
      <c r="D152" s="1">
        <f t="shared" si="34"/>
        <v>19</v>
      </c>
      <c r="E152" s="1">
        <f t="shared" si="35"/>
        <v>21</v>
      </c>
      <c r="F152" s="3">
        <f t="shared" si="36"/>
        <v>637.5</v>
      </c>
      <c r="G152" s="4">
        <f t="shared" si="37"/>
        <v>1.53</v>
      </c>
      <c r="H152" s="3" t="e">
        <f t="shared" si="38"/>
        <v>#VALUE!</v>
      </c>
      <c r="I152" s="1" t="b">
        <f t="shared" si="31"/>
        <v>0</v>
      </c>
      <c r="J152" s="1">
        <f>IF(Table1[[#This Row],[Rising Through Threshold]],Table1[[#This Row],[Start time]],J151)</f>
        <v>590.75</v>
      </c>
      <c r="K152" s="1" t="str">
        <f>IF(AND(Table1[[#This Row],[Rising Through Threshold]],J151&gt;0),J152-J151,"")</f>
        <v/>
      </c>
    </row>
    <row r="153" spans="1:11" x14ac:dyDescent="0.45">
      <c r="A153" s="1" t="s">
        <v>624</v>
      </c>
      <c r="B153" s="1">
        <f t="shared" si="32"/>
        <v>6</v>
      </c>
      <c r="C153" s="1">
        <f t="shared" si="33"/>
        <v>14</v>
      </c>
      <c r="D153" s="1">
        <f t="shared" si="34"/>
        <v>19</v>
      </c>
      <c r="E153" s="1">
        <f t="shared" si="35"/>
        <v>21</v>
      </c>
      <c r="F153" s="3">
        <f t="shared" si="36"/>
        <v>641.75</v>
      </c>
      <c r="G153" s="4">
        <f t="shared" si="37"/>
        <v>2.98</v>
      </c>
      <c r="H153" s="3" t="e">
        <f t="shared" si="38"/>
        <v>#VALUE!</v>
      </c>
      <c r="I153" s="1" t="b">
        <f t="shared" si="31"/>
        <v>1</v>
      </c>
      <c r="J153" s="1">
        <f>IF(Table1[[#This Row],[Rising Through Threshold]],Table1[[#This Row],[Start time]],J152)</f>
        <v>641.75</v>
      </c>
      <c r="K153" s="1">
        <f>IF(AND(Table1[[#This Row],[Rising Through Threshold]],J152&gt;0),J153-J152,"")</f>
        <v>51</v>
      </c>
    </row>
    <row r="154" spans="1:11" x14ac:dyDescent="0.45">
      <c r="A154" s="1" t="s">
        <v>625</v>
      </c>
      <c r="B154" s="1">
        <f t="shared" si="32"/>
        <v>6</v>
      </c>
      <c r="C154" s="1">
        <f t="shared" si="33"/>
        <v>12</v>
      </c>
      <c r="D154" s="1">
        <f t="shared" si="34"/>
        <v>17</v>
      </c>
      <c r="E154" s="1">
        <f t="shared" si="35"/>
        <v>19</v>
      </c>
      <c r="F154" s="3">
        <f t="shared" si="36"/>
        <v>646</v>
      </c>
      <c r="G154" s="4">
        <f t="shared" si="37"/>
        <v>3.47</v>
      </c>
      <c r="H154" s="3" t="e">
        <f t="shared" si="38"/>
        <v>#VALUE!</v>
      </c>
      <c r="I154" s="1" t="b">
        <f t="shared" si="31"/>
        <v>0</v>
      </c>
      <c r="J154" s="1">
        <f>IF(Table1[[#This Row],[Rising Through Threshold]],Table1[[#This Row],[Start time]],J153)</f>
        <v>641.75</v>
      </c>
      <c r="K154" s="1" t="str">
        <f>IF(AND(Table1[[#This Row],[Rising Through Threshold]],J153&gt;0),J154-J153,"")</f>
        <v/>
      </c>
    </row>
    <row r="155" spans="1:11" x14ac:dyDescent="0.45">
      <c r="A155" s="1" t="s">
        <v>626</v>
      </c>
      <c r="B155" s="1">
        <f t="shared" si="32"/>
        <v>6</v>
      </c>
      <c r="C155" s="1">
        <f t="shared" si="33"/>
        <v>14</v>
      </c>
      <c r="D155" s="1">
        <f t="shared" si="34"/>
        <v>19</v>
      </c>
      <c r="E155" s="1">
        <f t="shared" si="35"/>
        <v>21</v>
      </c>
      <c r="F155" s="3">
        <f t="shared" si="36"/>
        <v>650.25</v>
      </c>
      <c r="G155" s="4">
        <f t="shared" si="37"/>
        <v>4.0999999999999996</v>
      </c>
      <c r="H155" s="3" t="e">
        <f t="shared" si="38"/>
        <v>#VALUE!</v>
      </c>
      <c r="I155" s="1" t="b">
        <f t="shared" si="31"/>
        <v>0</v>
      </c>
      <c r="J155" s="1">
        <f>IF(Table1[[#This Row],[Rising Through Threshold]],Table1[[#This Row],[Start time]],J154)</f>
        <v>641.75</v>
      </c>
      <c r="K155" s="1" t="str">
        <f>IF(AND(Table1[[#This Row],[Rising Through Threshold]],J154&gt;0),J155-J154,"")</f>
        <v/>
      </c>
    </row>
    <row r="156" spans="1:11" x14ac:dyDescent="0.45">
      <c r="A156" s="1" t="s">
        <v>627</v>
      </c>
      <c r="B156" s="1">
        <f t="shared" si="32"/>
        <v>6</v>
      </c>
      <c r="C156" s="1">
        <f t="shared" si="33"/>
        <v>14</v>
      </c>
      <c r="D156" s="1">
        <f t="shared" si="34"/>
        <v>19</v>
      </c>
      <c r="E156" s="1">
        <f t="shared" si="35"/>
        <v>21</v>
      </c>
      <c r="F156" s="3">
        <f t="shared" si="36"/>
        <v>654.5</v>
      </c>
      <c r="G156" s="4">
        <f t="shared" si="37"/>
        <v>5</v>
      </c>
      <c r="H156" s="3" t="e">
        <f t="shared" si="38"/>
        <v>#VALUE!</v>
      </c>
      <c r="I156" s="1" t="b">
        <f t="shared" si="31"/>
        <v>0</v>
      </c>
      <c r="J156" s="1">
        <f>IF(Table1[[#This Row],[Rising Through Threshold]],Table1[[#This Row],[Start time]],J155)</f>
        <v>641.75</v>
      </c>
      <c r="K156" s="1" t="str">
        <f>IF(AND(Table1[[#This Row],[Rising Through Threshold]],J155&gt;0),J156-J155,"")</f>
        <v/>
      </c>
    </row>
    <row r="157" spans="1:11" x14ac:dyDescent="0.45">
      <c r="A157" s="1" t="s">
        <v>628</v>
      </c>
      <c r="B157" s="1">
        <f t="shared" si="32"/>
        <v>6</v>
      </c>
      <c r="C157" s="1">
        <f t="shared" si="33"/>
        <v>14</v>
      </c>
      <c r="D157" s="1">
        <f t="shared" si="34"/>
        <v>19</v>
      </c>
      <c r="E157" s="1">
        <f t="shared" si="35"/>
        <v>21</v>
      </c>
      <c r="F157" s="3">
        <f t="shared" si="36"/>
        <v>658.75</v>
      </c>
      <c r="G157" s="4">
        <f t="shared" si="37"/>
        <v>4.45</v>
      </c>
      <c r="H157" s="3" t="e">
        <f t="shared" si="38"/>
        <v>#VALUE!</v>
      </c>
      <c r="I157" s="1" t="b">
        <f t="shared" si="31"/>
        <v>0</v>
      </c>
      <c r="J157" s="1">
        <f>IF(Table1[[#This Row],[Rising Through Threshold]],Table1[[#This Row],[Start time]],J156)</f>
        <v>641.75</v>
      </c>
      <c r="K157" s="1" t="str">
        <f>IF(AND(Table1[[#This Row],[Rising Through Threshold]],J156&gt;0),J157-J156,"")</f>
        <v/>
      </c>
    </row>
    <row r="158" spans="1:11" x14ac:dyDescent="0.45">
      <c r="A158" s="1" t="s">
        <v>629</v>
      </c>
      <c r="B158" s="1">
        <f t="shared" si="32"/>
        <v>6</v>
      </c>
      <c r="C158" s="1">
        <f t="shared" si="33"/>
        <v>12</v>
      </c>
      <c r="D158" s="1">
        <f t="shared" si="34"/>
        <v>17</v>
      </c>
      <c r="E158" s="1">
        <f t="shared" si="35"/>
        <v>19</v>
      </c>
      <c r="F158" s="3">
        <f t="shared" si="36"/>
        <v>663</v>
      </c>
      <c r="G158" s="4">
        <f t="shared" si="37"/>
        <v>3.51</v>
      </c>
      <c r="H158" s="3" t="e">
        <f t="shared" si="38"/>
        <v>#VALUE!</v>
      </c>
      <c r="I158" s="1" t="b">
        <f t="shared" si="31"/>
        <v>0</v>
      </c>
      <c r="J158" s="1">
        <f>IF(Table1[[#This Row],[Rising Through Threshold]],Table1[[#This Row],[Start time]],J157)</f>
        <v>641.75</v>
      </c>
      <c r="K158" s="1" t="str">
        <f>IF(AND(Table1[[#This Row],[Rising Through Threshold]],J157&gt;0),J158-J157,"")</f>
        <v/>
      </c>
    </row>
    <row r="159" spans="1:11" x14ac:dyDescent="0.45">
      <c r="A159" s="1" t="s">
        <v>630</v>
      </c>
      <c r="B159" s="1">
        <f t="shared" si="32"/>
        <v>6</v>
      </c>
      <c r="C159" s="1">
        <f t="shared" si="33"/>
        <v>14</v>
      </c>
      <c r="D159" s="1">
        <f t="shared" si="34"/>
        <v>19</v>
      </c>
      <c r="E159" s="1">
        <f t="shared" si="35"/>
        <v>21</v>
      </c>
      <c r="F159" s="3">
        <f t="shared" si="36"/>
        <v>667.25</v>
      </c>
      <c r="G159" s="4">
        <f t="shared" si="37"/>
        <v>2.57</v>
      </c>
      <c r="H159" s="3" t="e">
        <f t="shared" si="38"/>
        <v>#VALUE!</v>
      </c>
      <c r="I159" s="1" t="b">
        <f t="shared" si="31"/>
        <v>0</v>
      </c>
      <c r="J159" s="1">
        <f>IF(Table1[[#This Row],[Rising Through Threshold]],Table1[[#This Row],[Start time]],J158)</f>
        <v>641.75</v>
      </c>
      <c r="K159" s="1" t="str">
        <f>IF(AND(Table1[[#This Row],[Rising Through Threshold]],J158&gt;0),J159-J158,"")</f>
        <v/>
      </c>
    </row>
    <row r="160" spans="1:11" x14ac:dyDescent="0.45">
      <c r="A160" s="1" t="s">
        <v>631</v>
      </c>
      <c r="B160" s="1">
        <f t="shared" si="32"/>
        <v>6</v>
      </c>
      <c r="C160" s="1">
        <f t="shared" si="33"/>
        <v>14</v>
      </c>
      <c r="D160" s="1">
        <f t="shared" si="34"/>
        <v>19</v>
      </c>
      <c r="E160" s="1">
        <f t="shared" si="35"/>
        <v>21</v>
      </c>
      <c r="F160" s="3">
        <f t="shared" si="36"/>
        <v>671.5</v>
      </c>
      <c r="G160" s="4">
        <f t="shared" si="37"/>
        <v>0.69</v>
      </c>
      <c r="H160" s="3" t="e">
        <f t="shared" si="38"/>
        <v>#VALUE!</v>
      </c>
      <c r="I160" s="1" t="b">
        <f t="shared" si="31"/>
        <v>0</v>
      </c>
      <c r="J160" s="1">
        <f>IF(Table1[[#This Row],[Rising Through Threshold]],Table1[[#This Row],[Start time]],J159)</f>
        <v>641.75</v>
      </c>
      <c r="K160" s="1" t="str">
        <f>IF(AND(Table1[[#This Row],[Rising Through Threshold]],J159&gt;0),J160-J159,"")</f>
        <v/>
      </c>
    </row>
    <row r="161" spans="1:11" x14ac:dyDescent="0.45">
      <c r="A161" s="1" t="s">
        <v>632</v>
      </c>
      <c r="B161" s="1">
        <f t="shared" si="32"/>
        <v>6</v>
      </c>
      <c r="C161" s="1">
        <f t="shared" si="33"/>
        <v>14</v>
      </c>
      <c r="D161" s="1">
        <f t="shared" si="34"/>
        <v>19</v>
      </c>
      <c r="E161" s="1">
        <f t="shared" si="35"/>
        <v>21</v>
      </c>
      <c r="F161" s="3">
        <f t="shared" si="36"/>
        <v>675.75</v>
      </c>
      <c r="G161" s="4">
        <f t="shared" si="37"/>
        <v>0</v>
      </c>
      <c r="H161" s="3" t="e">
        <f t="shared" si="38"/>
        <v>#VALUE!</v>
      </c>
      <c r="I161" s="1" t="b">
        <f t="shared" si="31"/>
        <v>0</v>
      </c>
      <c r="J161" s="1">
        <f>IF(Table1[[#This Row],[Rising Through Threshold]],Table1[[#This Row],[Start time]],J160)</f>
        <v>641.75</v>
      </c>
      <c r="K161" s="1" t="str">
        <f>IF(AND(Table1[[#This Row],[Rising Through Threshold]],J160&gt;0),J161-J160,"")</f>
        <v/>
      </c>
    </row>
    <row r="162" spans="1:11" x14ac:dyDescent="0.45">
      <c r="A162" s="1" t="s">
        <v>633</v>
      </c>
      <c r="B162" s="1">
        <f t="shared" si="32"/>
        <v>6</v>
      </c>
      <c r="C162" s="1">
        <f t="shared" si="33"/>
        <v>12</v>
      </c>
      <c r="D162" s="1">
        <f t="shared" si="34"/>
        <v>17</v>
      </c>
      <c r="E162" s="1">
        <f t="shared" si="35"/>
        <v>19</v>
      </c>
      <c r="F162" s="3">
        <f t="shared" si="36"/>
        <v>680</v>
      </c>
      <c r="G162" s="4">
        <f t="shared" si="37"/>
        <v>0</v>
      </c>
      <c r="H162" s="3" t="e">
        <f t="shared" si="38"/>
        <v>#VALUE!</v>
      </c>
      <c r="I162" s="1" t="b">
        <f t="shared" si="31"/>
        <v>0</v>
      </c>
      <c r="J162" s="1">
        <f>IF(Table1[[#This Row],[Rising Through Threshold]],Table1[[#This Row],[Start time]],J161)</f>
        <v>641.75</v>
      </c>
      <c r="K162" s="1" t="str">
        <f>IF(AND(Table1[[#This Row],[Rising Through Threshold]],J161&gt;0),J162-J161,"")</f>
        <v/>
      </c>
    </row>
    <row r="163" spans="1:11" x14ac:dyDescent="0.45">
      <c r="A163" s="1" t="s">
        <v>634</v>
      </c>
      <c r="B163" s="1">
        <f t="shared" si="32"/>
        <v>6</v>
      </c>
      <c r="C163" s="1">
        <f t="shared" si="33"/>
        <v>14</v>
      </c>
      <c r="D163" s="1">
        <f t="shared" si="34"/>
        <v>19</v>
      </c>
      <c r="E163" s="1">
        <f t="shared" si="35"/>
        <v>21</v>
      </c>
      <c r="F163" s="3">
        <f t="shared" si="36"/>
        <v>684.25</v>
      </c>
      <c r="G163" s="4">
        <f t="shared" si="37"/>
        <v>0.76</v>
      </c>
      <c r="H163" s="3" t="e">
        <f t="shared" si="38"/>
        <v>#VALUE!</v>
      </c>
      <c r="I163" s="1" t="b">
        <f t="shared" si="31"/>
        <v>0</v>
      </c>
      <c r="J163" s="1">
        <f>IF(Table1[[#This Row],[Rising Through Threshold]],Table1[[#This Row],[Start time]],J162)</f>
        <v>641.75</v>
      </c>
      <c r="K163" s="1" t="str">
        <f>IF(AND(Table1[[#This Row],[Rising Through Threshold]],J162&gt;0),J163-J162,"")</f>
        <v/>
      </c>
    </row>
    <row r="164" spans="1:11" x14ac:dyDescent="0.45">
      <c r="A164" s="1" t="s">
        <v>635</v>
      </c>
      <c r="B164" s="1">
        <f t="shared" si="32"/>
        <v>6</v>
      </c>
      <c r="C164" s="1">
        <f t="shared" si="33"/>
        <v>14</v>
      </c>
      <c r="D164" s="1">
        <f t="shared" si="34"/>
        <v>19</v>
      </c>
      <c r="E164" s="1">
        <f t="shared" si="35"/>
        <v>21</v>
      </c>
      <c r="F164" s="3">
        <f t="shared" si="36"/>
        <v>688.5</v>
      </c>
      <c r="G164" s="4">
        <f t="shared" si="37"/>
        <v>1.49</v>
      </c>
      <c r="H164" s="3" t="e">
        <f t="shared" si="38"/>
        <v>#VALUE!</v>
      </c>
      <c r="I164" s="1" t="b">
        <f t="shared" si="31"/>
        <v>0</v>
      </c>
      <c r="J164" s="1">
        <f>IF(Table1[[#This Row],[Rising Through Threshold]],Table1[[#This Row],[Start time]],J163)</f>
        <v>641.75</v>
      </c>
      <c r="K164" s="1" t="str">
        <f>IF(AND(Table1[[#This Row],[Rising Through Threshold]],J163&gt;0),J164-J163,"")</f>
        <v/>
      </c>
    </row>
    <row r="165" spans="1:11" x14ac:dyDescent="0.45">
      <c r="A165" s="1" t="s">
        <v>636</v>
      </c>
      <c r="B165" s="1">
        <f t="shared" si="32"/>
        <v>6</v>
      </c>
      <c r="C165" s="1">
        <f t="shared" si="33"/>
        <v>14</v>
      </c>
      <c r="D165" s="1">
        <f t="shared" si="34"/>
        <v>19</v>
      </c>
      <c r="E165" s="1">
        <f t="shared" si="35"/>
        <v>21</v>
      </c>
      <c r="F165" s="3">
        <f t="shared" si="36"/>
        <v>692.75</v>
      </c>
      <c r="G165" s="4">
        <f t="shared" si="37"/>
        <v>2.2200000000000002</v>
      </c>
      <c r="H165" s="3" t="e">
        <f t="shared" si="38"/>
        <v>#VALUE!</v>
      </c>
      <c r="I165" s="1" t="b">
        <f t="shared" si="31"/>
        <v>0</v>
      </c>
      <c r="J165" s="1">
        <f>IF(Table1[[#This Row],[Rising Through Threshold]],Table1[[#This Row],[Start time]],J164)</f>
        <v>641.75</v>
      </c>
      <c r="K165" s="1" t="str">
        <f>IF(AND(Table1[[#This Row],[Rising Through Threshold]],J164&gt;0),J165-J164,"")</f>
        <v/>
      </c>
    </row>
    <row r="166" spans="1:11" x14ac:dyDescent="0.45">
      <c r="A166" s="1" t="s">
        <v>637</v>
      </c>
      <c r="B166" s="1">
        <f t="shared" si="32"/>
        <v>6</v>
      </c>
      <c r="C166" s="1">
        <f t="shared" si="33"/>
        <v>12</v>
      </c>
      <c r="D166" s="1">
        <f t="shared" si="34"/>
        <v>17</v>
      </c>
      <c r="E166" s="1">
        <f t="shared" si="35"/>
        <v>19</v>
      </c>
      <c r="F166" s="3">
        <f t="shared" si="36"/>
        <v>697</v>
      </c>
      <c r="G166" s="4">
        <f t="shared" si="37"/>
        <v>3.45</v>
      </c>
      <c r="H166" s="3" t="e">
        <f t="shared" si="38"/>
        <v>#VALUE!</v>
      </c>
      <c r="I166" s="1" t="b">
        <f t="shared" si="31"/>
        <v>1</v>
      </c>
      <c r="J166" s="1">
        <f>IF(Table1[[#This Row],[Rising Through Threshold]],Table1[[#This Row],[Start time]],J165)</f>
        <v>697</v>
      </c>
      <c r="K166" s="1">
        <f>IF(AND(Table1[[#This Row],[Rising Through Threshold]],J165&gt;0),J166-J165,"")</f>
        <v>55.25</v>
      </c>
    </row>
    <row r="167" spans="1:11" x14ac:dyDescent="0.45">
      <c r="A167" s="1" t="s">
        <v>638</v>
      </c>
      <c r="B167" s="1">
        <f t="shared" si="32"/>
        <v>6</v>
      </c>
      <c r="C167" s="1">
        <f t="shared" si="33"/>
        <v>14</v>
      </c>
      <c r="D167" s="1">
        <f t="shared" si="34"/>
        <v>19</v>
      </c>
      <c r="E167" s="1">
        <f t="shared" si="35"/>
        <v>21</v>
      </c>
      <c r="F167" s="3">
        <f t="shared" si="36"/>
        <v>701.25</v>
      </c>
      <c r="G167" s="4">
        <f t="shared" si="37"/>
        <v>4.0599999999999996</v>
      </c>
      <c r="H167" s="3" t="e">
        <f t="shared" si="38"/>
        <v>#VALUE!</v>
      </c>
      <c r="I167" s="1" t="b">
        <f t="shared" si="31"/>
        <v>0</v>
      </c>
      <c r="J167" s="1">
        <f>IF(Table1[[#This Row],[Rising Through Threshold]],Table1[[#This Row],[Start time]],J166)</f>
        <v>697</v>
      </c>
      <c r="K167" s="1" t="str">
        <f>IF(AND(Table1[[#This Row],[Rising Through Threshold]],J166&gt;0),J167-J166,"")</f>
        <v/>
      </c>
    </row>
    <row r="168" spans="1:11" x14ac:dyDescent="0.45">
      <c r="A168" s="1" t="s">
        <v>639</v>
      </c>
      <c r="B168" s="1">
        <f t="shared" si="32"/>
        <v>6</v>
      </c>
      <c r="C168" s="1">
        <f t="shared" si="33"/>
        <v>14</v>
      </c>
      <c r="D168" s="1">
        <f t="shared" si="34"/>
        <v>19</v>
      </c>
      <c r="E168" s="1">
        <f t="shared" si="35"/>
        <v>21</v>
      </c>
      <c r="F168" s="3">
        <f t="shared" si="36"/>
        <v>705.5</v>
      </c>
      <c r="G168" s="4">
        <f t="shared" si="37"/>
        <v>5</v>
      </c>
      <c r="H168" s="3" t="e">
        <f t="shared" si="38"/>
        <v>#VALUE!</v>
      </c>
      <c r="I168" s="1" t="b">
        <f t="shared" si="31"/>
        <v>0</v>
      </c>
      <c r="J168" s="1">
        <f>IF(Table1[[#This Row],[Rising Through Threshold]],Table1[[#This Row],[Start time]],J167)</f>
        <v>697</v>
      </c>
      <c r="K168" s="1" t="str">
        <f>IF(AND(Table1[[#This Row],[Rising Through Threshold]],J167&gt;0),J168-J167,"")</f>
        <v/>
      </c>
    </row>
    <row r="169" spans="1:11" x14ac:dyDescent="0.45">
      <c r="A169" s="1" t="s">
        <v>640</v>
      </c>
      <c r="B169" s="1">
        <f t="shared" si="32"/>
        <v>6</v>
      </c>
      <c r="C169" s="1">
        <f t="shared" si="33"/>
        <v>14</v>
      </c>
      <c r="D169" s="1">
        <f t="shared" si="34"/>
        <v>19</v>
      </c>
      <c r="E169" s="1">
        <f t="shared" si="35"/>
        <v>21</v>
      </c>
      <c r="F169" s="3">
        <f t="shared" si="36"/>
        <v>709.75</v>
      </c>
      <c r="G169" s="4">
        <f t="shared" si="37"/>
        <v>5</v>
      </c>
      <c r="H169" s="3" t="e">
        <f t="shared" si="38"/>
        <v>#VALUE!</v>
      </c>
      <c r="I169" s="1" t="b">
        <f t="shared" si="31"/>
        <v>0</v>
      </c>
      <c r="J169" s="1">
        <f>IF(Table1[[#This Row],[Rising Through Threshold]],Table1[[#This Row],[Start time]],J168)</f>
        <v>697</v>
      </c>
      <c r="K169" s="1" t="str">
        <f>IF(AND(Table1[[#This Row],[Rising Through Threshold]],J168&gt;0),J169-J168,"")</f>
        <v/>
      </c>
    </row>
    <row r="170" spans="1:11" x14ac:dyDescent="0.45">
      <c r="A170" s="1" t="s">
        <v>641</v>
      </c>
      <c r="B170" s="1">
        <f t="shared" si="32"/>
        <v>6</v>
      </c>
      <c r="C170" s="1">
        <f t="shared" si="33"/>
        <v>12</v>
      </c>
      <c r="D170" s="1">
        <f t="shared" si="34"/>
        <v>17</v>
      </c>
      <c r="E170" s="1">
        <f t="shared" si="35"/>
        <v>19</v>
      </c>
      <c r="F170" s="3">
        <f t="shared" si="36"/>
        <v>714</v>
      </c>
      <c r="G170" s="4">
        <f t="shared" si="37"/>
        <v>3.61</v>
      </c>
      <c r="H170" s="3" t="e">
        <f t="shared" si="38"/>
        <v>#VALUE!</v>
      </c>
      <c r="I170" s="1" t="b">
        <f t="shared" si="31"/>
        <v>0</v>
      </c>
      <c r="J170" s="1">
        <f>IF(Table1[[#This Row],[Rising Through Threshold]],Table1[[#This Row],[Start time]],J169)</f>
        <v>697</v>
      </c>
      <c r="K170" s="1" t="str">
        <f>IF(AND(Table1[[#This Row],[Rising Through Threshold]],J169&gt;0),J170-J169,"")</f>
        <v/>
      </c>
    </row>
    <row r="171" spans="1:11" x14ac:dyDescent="0.45">
      <c r="A171" s="1" t="s">
        <v>487</v>
      </c>
      <c r="B171" s="1">
        <f t="shared" si="32"/>
        <v>6</v>
      </c>
      <c r="C171" s="1">
        <f t="shared" si="33"/>
        <v>14</v>
      </c>
      <c r="D171" s="1">
        <f t="shared" si="34"/>
        <v>19</v>
      </c>
      <c r="E171" s="1">
        <f t="shared" si="35"/>
        <v>21</v>
      </c>
      <c r="F171" s="3">
        <f t="shared" si="36"/>
        <v>718.25</v>
      </c>
      <c r="G171" s="4">
        <f t="shared" si="37"/>
        <v>2.65</v>
      </c>
      <c r="H171" s="3" t="e">
        <f t="shared" si="38"/>
        <v>#VALUE!</v>
      </c>
      <c r="I171" s="1" t="b">
        <f t="shared" si="31"/>
        <v>0</v>
      </c>
      <c r="J171" s="1">
        <f>IF(Table1[[#This Row],[Rising Through Threshold]],Table1[[#This Row],[Start time]],J170)</f>
        <v>697</v>
      </c>
      <c r="K171" s="1" t="str">
        <f>IF(AND(Table1[[#This Row],[Rising Through Threshold]],J170&gt;0),J171-J170,"")</f>
        <v/>
      </c>
    </row>
    <row r="172" spans="1:11" x14ac:dyDescent="0.45">
      <c r="A172" s="1" t="s">
        <v>642</v>
      </c>
      <c r="B172" s="1">
        <f t="shared" si="32"/>
        <v>6</v>
      </c>
      <c r="C172" s="1">
        <f t="shared" si="33"/>
        <v>14</v>
      </c>
      <c r="D172" s="1">
        <f t="shared" si="34"/>
        <v>19</v>
      </c>
      <c r="E172" s="1">
        <f t="shared" si="35"/>
        <v>21</v>
      </c>
      <c r="F172" s="3">
        <f t="shared" si="36"/>
        <v>722.5</v>
      </c>
      <c r="G172" s="4">
        <f t="shared" si="37"/>
        <v>1.73</v>
      </c>
      <c r="H172" s="3" t="e">
        <f t="shared" si="38"/>
        <v>#VALUE!</v>
      </c>
      <c r="I172" s="1" t="b">
        <f t="shared" si="31"/>
        <v>0</v>
      </c>
      <c r="J172" s="1">
        <f>IF(Table1[[#This Row],[Rising Through Threshold]],Table1[[#This Row],[Start time]],J171)</f>
        <v>697</v>
      </c>
      <c r="K172" s="1" t="str">
        <f>IF(AND(Table1[[#This Row],[Rising Through Threshold]],J171&gt;0),J172-J171,"")</f>
        <v/>
      </c>
    </row>
    <row r="173" spans="1:11" x14ac:dyDescent="0.45">
      <c r="A173" s="1" t="s">
        <v>643</v>
      </c>
      <c r="B173" s="1">
        <f t="shared" si="32"/>
        <v>6</v>
      </c>
      <c r="C173" s="1">
        <f t="shared" si="33"/>
        <v>14</v>
      </c>
      <c r="D173" s="1">
        <f t="shared" si="34"/>
        <v>19</v>
      </c>
      <c r="E173" s="1">
        <f t="shared" si="35"/>
        <v>21</v>
      </c>
      <c r="F173" s="3">
        <f t="shared" si="36"/>
        <v>726.75</v>
      </c>
      <c r="G173" s="4">
        <f t="shared" si="37"/>
        <v>0</v>
      </c>
      <c r="H173" s="3" t="e">
        <f t="shared" si="38"/>
        <v>#VALUE!</v>
      </c>
      <c r="I173" s="1" t="b">
        <f t="shared" ref="I173:I236" si="39">AND(G172&lt;Threshold,G173&gt;Threshold)</f>
        <v>0</v>
      </c>
      <c r="J173" s="1">
        <f>IF(Table1[[#This Row],[Rising Through Threshold]],Table1[[#This Row],[Start time]],J172)</f>
        <v>697</v>
      </c>
      <c r="K173" s="1" t="str">
        <f>IF(AND(Table1[[#This Row],[Rising Through Threshold]],J172&gt;0),J173-J172,"")</f>
        <v/>
      </c>
    </row>
    <row r="174" spans="1:11" x14ac:dyDescent="0.45">
      <c r="A174" s="1" t="s">
        <v>644</v>
      </c>
      <c r="B174" s="1">
        <f t="shared" si="32"/>
        <v>6</v>
      </c>
      <c r="C174" s="1">
        <f t="shared" si="33"/>
        <v>12</v>
      </c>
      <c r="D174" s="1">
        <f t="shared" si="34"/>
        <v>17</v>
      </c>
      <c r="E174" s="1">
        <f t="shared" si="35"/>
        <v>19</v>
      </c>
      <c r="F174" s="3">
        <f t="shared" si="36"/>
        <v>731</v>
      </c>
      <c r="G174" s="4">
        <f t="shared" si="37"/>
        <v>0</v>
      </c>
      <c r="H174" s="3" t="e">
        <f t="shared" si="38"/>
        <v>#VALUE!</v>
      </c>
      <c r="I174" s="1" t="b">
        <f t="shared" si="39"/>
        <v>0</v>
      </c>
      <c r="J174" s="1">
        <f>IF(Table1[[#This Row],[Rising Through Threshold]],Table1[[#This Row],[Start time]],J173)</f>
        <v>697</v>
      </c>
      <c r="K174" s="1" t="str">
        <f>IF(AND(Table1[[#This Row],[Rising Through Threshold]],J173&gt;0),J174-J173,"")</f>
        <v/>
      </c>
    </row>
    <row r="175" spans="1:11" x14ac:dyDescent="0.45">
      <c r="A175" s="1" t="s">
        <v>645</v>
      </c>
      <c r="B175" s="1">
        <f t="shared" si="32"/>
        <v>6</v>
      </c>
      <c r="C175" s="1">
        <f t="shared" si="33"/>
        <v>14</v>
      </c>
      <c r="D175" s="1">
        <f t="shared" si="34"/>
        <v>19</v>
      </c>
      <c r="E175" s="1">
        <f t="shared" si="35"/>
        <v>21</v>
      </c>
      <c r="F175" s="3">
        <f t="shared" si="36"/>
        <v>735.25</v>
      </c>
      <c r="G175" s="4">
        <f t="shared" si="37"/>
        <v>0.14000000000000001</v>
      </c>
      <c r="H175" s="3" t="e">
        <f t="shared" si="38"/>
        <v>#VALUE!</v>
      </c>
      <c r="I175" s="1" t="b">
        <f t="shared" si="39"/>
        <v>0</v>
      </c>
      <c r="J175" s="1">
        <f>IF(Table1[[#This Row],[Rising Through Threshold]],Table1[[#This Row],[Start time]],J174)</f>
        <v>697</v>
      </c>
      <c r="K175" s="1" t="str">
        <f>IF(AND(Table1[[#This Row],[Rising Through Threshold]],J174&gt;0),J175-J174,"")</f>
        <v/>
      </c>
    </row>
    <row r="176" spans="1:11" x14ac:dyDescent="0.45">
      <c r="A176" s="1" t="s">
        <v>646</v>
      </c>
      <c r="B176" s="1">
        <f t="shared" si="32"/>
        <v>6</v>
      </c>
      <c r="C176" s="1">
        <f t="shared" si="33"/>
        <v>14</v>
      </c>
      <c r="D176" s="1">
        <f t="shared" si="34"/>
        <v>19</v>
      </c>
      <c r="E176" s="1">
        <f t="shared" si="35"/>
        <v>21</v>
      </c>
      <c r="F176" s="3">
        <f t="shared" si="36"/>
        <v>739.5</v>
      </c>
      <c r="G176" s="4">
        <f t="shared" si="37"/>
        <v>0.71</v>
      </c>
      <c r="H176" s="3" t="e">
        <f t="shared" si="38"/>
        <v>#VALUE!</v>
      </c>
      <c r="I176" s="1" t="b">
        <f t="shared" si="39"/>
        <v>0</v>
      </c>
      <c r="J176" s="1">
        <f>IF(Table1[[#This Row],[Rising Through Threshold]],Table1[[#This Row],[Start time]],J175)</f>
        <v>697</v>
      </c>
      <c r="K176" s="1" t="str">
        <f>IF(AND(Table1[[#This Row],[Rising Through Threshold]],J175&gt;0),J176-J175,"")</f>
        <v/>
      </c>
    </row>
    <row r="177" spans="1:11" x14ac:dyDescent="0.45">
      <c r="A177" s="1" t="s">
        <v>647</v>
      </c>
      <c r="B177" s="1">
        <f t="shared" si="32"/>
        <v>6</v>
      </c>
      <c r="C177" s="1">
        <f t="shared" si="33"/>
        <v>14</v>
      </c>
      <c r="D177" s="1">
        <f t="shared" si="34"/>
        <v>19</v>
      </c>
      <c r="E177" s="1">
        <f t="shared" si="35"/>
        <v>21</v>
      </c>
      <c r="F177" s="3">
        <f t="shared" si="36"/>
        <v>743.75</v>
      </c>
      <c r="G177" s="4">
        <f t="shared" si="37"/>
        <v>2.2000000000000002</v>
      </c>
      <c r="H177" s="3" t="e">
        <f t="shared" si="38"/>
        <v>#VALUE!</v>
      </c>
      <c r="I177" s="1" t="b">
        <f t="shared" si="39"/>
        <v>0</v>
      </c>
      <c r="J177" s="1">
        <f>IF(Table1[[#This Row],[Rising Through Threshold]],Table1[[#This Row],[Start time]],J176)</f>
        <v>697</v>
      </c>
      <c r="K177" s="1" t="str">
        <f>IF(AND(Table1[[#This Row],[Rising Through Threshold]],J176&gt;0),J177-J176,"")</f>
        <v/>
      </c>
    </row>
    <row r="178" spans="1:11" x14ac:dyDescent="0.45">
      <c r="A178" s="1" t="s">
        <v>648</v>
      </c>
      <c r="B178" s="1">
        <f t="shared" si="32"/>
        <v>6</v>
      </c>
      <c r="C178" s="1">
        <f t="shared" si="33"/>
        <v>12</v>
      </c>
      <c r="D178" s="1">
        <f t="shared" si="34"/>
        <v>17</v>
      </c>
      <c r="E178" s="1">
        <f t="shared" si="35"/>
        <v>19</v>
      </c>
      <c r="F178" s="3">
        <f t="shared" si="36"/>
        <v>748</v>
      </c>
      <c r="G178" s="4">
        <f t="shared" si="37"/>
        <v>2.88</v>
      </c>
      <c r="H178" s="3" t="e">
        <f t="shared" si="38"/>
        <v>#VALUE!</v>
      </c>
      <c r="I178" s="1" t="b">
        <f t="shared" si="39"/>
        <v>1</v>
      </c>
      <c r="J178" s="1">
        <f>IF(Table1[[#This Row],[Rising Through Threshold]],Table1[[#This Row],[Start time]],J177)</f>
        <v>748</v>
      </c>
      <c r="K178" s="1">
        <f>IF(AND(Table1[[#This Row],[Rising Through Threshold]],J177&gt;0),J178-J177,"")</f>
        <v>51</v>
      </c>
    </row>
    <row r="179" spans="1:11" x14ac:dyDescent="0.45">
      <c r="A179" s="1" t="s">
        <v>649</v>
      </c>
      <c r="B179" s="1">
        <f t="shared" si="32"/>
        <v>6</v>
      </c>
      <c r="C179" s="1">
        <f t="shared" si="33"/>
        <v>14</v>
      </c>
      <c r="D179" s="1">
        <f t="shared" si="34"/>
        <v>19</v>
      </c>
      <c r="E179" s="1">
        <f t="shared" si="35"/>
        <v>21</v>
      </c>
      <c r="F179" s="3">
        <f t="shared" si="36"/>
        <v>752.25</v>
      </c>
      <c r="G179" s="4">
        <f t="shared" si="37"/>
        <v>3.45</v>
      </c>
      <c r="H179" s="3" t="e">
        <f t="shared" si="38"/>
        <v>#VALUE!</v>
      </c>
      <c r="I179" s="1" t="b">
        <f t="shared" si="39"/>
        <v>0</v>
      </c>
      <c r="J179" s="1">
        <f>IF(Table1[[#This Row],[Rising Through Threshold]],Table1[[#This Row],[Start time]],J178)</f>
        <v>748</v>
      </c>
      <c r="K179" s="1" t="str">
        <f>IF(AND(Table1[[#This Row],[Rising Through Threshold]],J178&gt;0),J179-J178,"")</f>
        <v/>
      </c>
    </row>
    <row r="180" spans="1:11" x14ac:dyDescent="0.45">
      <c r="A180" s="1" t="s">
        <v>650</v>
      </c>
      <c r="B180" s="1">
        <f t="shared" si="32"/>
        <v>6</v>
      </c>
      <c r="C180" s="1">
        <f t="shared" si="33"/>
        <v>14</v>
      </c>
      <c r="D180" s="1">
        <f t="shared" si="34"/>
        <v>19</v>
      </c>
      <c r="E180" s="1">
        <f t="shared" si="35"/>
        <v>21</v>
      </c>
      <c r="F180" s="3">
        <f t="shared" si="36"/>
        <v>756.5</v>
      </c>
      <c r="G180" s="4">
        <f t="shared" si="37"/>
        <v>4.9400000000000004</v>
      </c>
      <c r="H180" s="3" t="e">
        <f t="shared" si="38"/>
        <v>#VALUE!</v>
      </c>
      <c r="I180" s="1" t="b">
        <f t="shared" si="39"/>
        <v>0</v>
      </c>
      <c r="J180" s="1">
        <f>IF(Table1[[#This Row],[Rising Through Threshold]],Table1[[#This Row],[Start time]],J179)</f>
        <v>748</v>
      </c>
      <c r="K180" s="1" t="str">
        <f>IF(AND(Table1[[#This Row],[Rising Through Threshold]],J179&gt;0),J180-J179,"")</f>
        <v/>
      </c>
    </row>
    <row r="181" spans="1:11" x14ac:dyDescent="0.45">
      <c r="A181" s="1" t="s">
        <v>651</v>
      </c>
      <c r="B181" s="1">
        <f t="shared" si="32"/>
        <v>6</v>
      </c>
      <c r="C181" s="1">
        <f t="shared" si="33"/>
        <v>14</v>
      </c>
      <c r="D181" s="1">
        <f t="shared" si="34"/>
        <v>19</v>
      </c>
      <c r="E181" s="1">
        <f t="shared" si="35"/>
        <v>21</v>
      </c>
      <c r="F181" s="3">
        <f t="shared" si="36"/>
        <v>760.75</v>
      </c>
      <c r="G181" s="4">
        <f t="shared" si="37"/>
        <v>5</v>
      </c>
      <c r="H181" s="3" t="e">
        <f t="shared" si="38"/>
        <v>#VALUE!</v>
      </c>
      <c r="I181" s="1" t="b">
        <f t="shared" si="39"/>
        <v>0</v>
      </c>
      <c r="J181" s="1">
        <f>IF(Table1[[#This Row],[Rising Through Threshold]],Table1[[#This Row],[Start time]],J180)</f>
        <v>748</v>
      </c>
      <c r="K181" s="1" t="str">
        <f>IF(AND(Table1[[#This Row],[Rising Through Threshold]],J180&gt;0),J181-J180,"")</f>
        <v/>
      </c>
    </row>
    <row r="182" spans="1:11" x14ac:dyDescent="0.45">
      <c r="A182" s="1" t="s">
        <v>652</v>
      </c>
      <c r="B182" s="1">
        <f t="shared" si="32"/>
        <v>6</v>
      </c>
      <c r="C182" s="1">
        <f t="shared" si="33"/>
        <v>12</v>
      </c>
      <c r="D182" s="1">
        <f t="shared" si="34"/>
        <v>17</v>
      </c>
      <c r="E182" s="1">
        <f t="shared" si="35"/>
        <v>19</v>
      </c>
      <c r="F182" s="3">
        <f t="shared" si="36"/>
        <v>765</v>
      </c>
      <c r="G182" s="4">
        <f t="shared" si="37"/>
        <v>4.53</v>
      </c>
      <c r="H182" s="3" t="e">
        <f t="shared" si="38"/>
        <v>#VALUE!</v>
      </c>
      <c r="I182" s="1" t="b">
        <f t="shared" si="39"/>
        <v>0</v>
      </c>
      <c r="J182" s="1">
        <f>IF(Table1[[#This Row],[Rising Through Threshold]],Table1[[#This Row],[Start time]],J181)</f>
        <v>748</v>
      </c>
      <c r="K182" s="1" t="str">
        <f>IF(AND(Table1[[#This Row],[Rising Through Threshold]],J181&gt;0),J182-J181,"")</f>
        <v/>
      </c>
    </row>
    <row r="183" spans="1:11" x14ac:dyDescent="0.45">
      <c r="A183" s="1" t="s">
        <v>653</v>
      </c>
      <c r="B183" s="1">
        <f t="shared" si="32"/>
        <v>6</v>
      </c>
      <c r="C183" s="1">
        <f t="shared" si="33"/>
        <v>14</v>
      </c>
      <c r="D183" s="1">
        <f t="shared" si="34"/>
        <v>19</v>
      </c>
      <c r="E183" s="1">
        <f t="shared" si="35"/>
        <v>21</v>
      </c>
      <c r="F183" s="3">
        <f t="shared" si="36"/>
        <v>769.25</v>
      </c>
      <c r="G183" s="4">
        <f t="shared" si="37"/>
        <v>2.67</v>
      </c>
      <c r="H183" s="3" t="e">
        <f t="shared" si="38"/>
        <v>#VALUE!</v>
      </c>
      <c r="I183" s="1" t="b">
        <f t="shared" si="39"/>
        <v>0</v>
      </c>
      <c r="J183" s="1">
        <f>IF(Table1[[#This Row],[Rising Through Threshold]],Table1[[#This Row],[Start time]],J182)</f>
        <v>748</v>
      </c>
      <c r="K183" s="1" t="str">
        <f>IF(AND(Table1[[#This Row],[Rising Through Threshold]],J182&gt;0),J183-J182,"")</f>
        <v/>
      </c>
    </row>
    <row r="184" spans="1:11" x14ac:dyDescent="0.45">
      <c r="A184" s="1" t="s">
        <v>654</v>
      </c>
      <c r="B184" s="1">
        <f t="shared" si="32"/>
        <v>6</v>
      </c>
      <c r="C184" s="1">
        <f t="shared" si="33"/>
        <v>14</v>
      </c>
      <c r="D184" s="1">
        <f t="shared" si="34"/>
        <v>19</v>
      </c>
      <c r="E184" s="1">
        <f t="shared" si="35"/>
        <v>21</v>
      </c>
      <c r="F184" s="3">
        <f t="shared" si="36"/>
        <v>773.5</v>
      </c>
      <c r="G184" s="4">
        <f t="shared" si="37"/>
        <v>1.73</v>
      </c>
      <c r="H184" s="3" t="e">
        <f t="shared" si="38"/>
        <v>#VALUE!</v>
      </c>
      <c r="I184" s="1" t="b">
        <f t="shared" si="39"/>
        <v>0</v>
      </c>
      <c r="J184" s="1">
        <f>IF(Table1[[#This Row],[Rising Through Threshold]],Table1[[#This Row],[Start time]],J183)</f>
        <v>748</v>
      </c>
      <c r="K184" s="1" t="str">
        <f>IF(AND(Table1[[#This Row],[Rising Through Threshold]],J183&gt;0),J184-J183,"")</f>
        <v/>
      </c>
    </row>
    <row r="185" spans="1:11" x14ac:dyDescent="0.45">
      <c r="A185" s="1" t="s">
        <v>655</v>
      </c>
      <c r="B185" s="1">
        <f t="shared" ref="B185:B248" si="40">FIND(":",$A185,1)</f>
        <v>6</v>
      </c>
      <c r="C185" s="1">
        <f t="shared" ref="C185:C248" si="41">FIND(":",$A185,B185+1)</f>
        <v>14</v>
      </c>
      <c r="D185" s="1">
        <f t="shared" ref="D185:D248" si="42">FIND(":",$A185,C185+1)</f>
        <v>19</v>
      </c>
      <c r="E185" s="1">
        <f t="shared" ref="E185:E248" si="43">FIND(":",$A185,D185+1)</f>
        <v>21</v>
      </c>
      <c r="F185" s="3">
        <f t="shared" ref="F185:F248" si="44">_xlfn.NUMBERVALUE(MID($A185,B185+1,C185-B185-1))</f>
        <v>777.75</v>
      </c>
      <c r="G185" s="4">
        <f t="shared" ref="G185:G248" si="45">_xlfn.NUMBERVALUE(MID($A185,C185+1,D185-C185-1))</f>
        <v>0.76</v>
      </c>
      <c r="H185" s="3" t="e">
        <f t="shared" ref="H185:H248" si="46">_xlfn.NUMBERVALUE(MID($A185,E185+1,1000))</f>
        <v>#VALUE!</v>
      </c>
      <c r="I185" s="1" t="b">
        <f t="shared" si="39"/>
        <v>0</v>
      </c>
      <c r="J185" s="1">
        <f>IF(Table1[[#This Row],[Rising Through Threshold]],Table1[[#This Row],[Start time]],J184)</f>
        <v>748</v>
      </c>
      <c r="K185" s="1" t="str">
        <f>IF(AND(Table1[[#This Row],[Rising Through Threshold]],J184&gt;0),J185-J184,"")</f>
        <v/>
      </c>
    </row>
    <row r="186" spans="1:11" x14ac:dyDescent="0.45">
      <c r="A186" s="1" t="s">
        <v>656</v>
      </c>
      <c r="B186" s="1">
        <f t="shared" si="40"/>
        <v>6</v>
      </c>
      <c r="C186" s="1">
        <f t="shared" si="41"/>
        <v>12</v>
      </c>
      <c r="D186" s="1">
        <f t="shared" si="42"/>
        <v>17</v>
      </c>
      <c r="E186" s="1">
        <f t="shared" si="43"/>
        <v>19</v>
      </c>
      <c r="F186" s="3">
        <f t="shared" si="44"/>
        <v>782</v>
      </c>
      <c r="G186" s="4">
        <f t="shared" si="45"/>
        <v>0</v>
      </c>
      <c r="H186" s="3" t="e">
        <f t="shared" si="46"/>
        <v>#VALUE!</v>
      </c>
      <c r="I186" s="1" t="b">
        <f t="shared" si="39"/>
        <v>0</v>
      </c>
      <c r="J186" s="1">
        <f>IF(Table1[[#This Row],[Rising Through Threshold]],Table1[[#This Row],[Start time]],J185)</f>
        <v>748</v>
      </c>
      <c r="K186" s="1" t="str">
        <f>IF(AND(Table1[[#This Row],[Rising Through Threshold]],J185&gt;0),J186-J185,"")</f>
        <v/>
      </c>
    </row>
    <row r="187" spans="1:11" x14ac:dyDescent="0.45">
      <c r="A187" s="1" t="s">
        <v>657</v>
      </c>
      <c r="B187" s="1">
        <f t="shared" si="40"/>
        <v>6</v>
      </c>
      <c r="C187" s="1">
        <f t="shared" si="41"/>
        <v>14</v>
      </c>
      <c r="D187" s="1">
        <f t="shared" si="42"/>
        <v>19</v>
      </c>
      <c r="E187" s="1">
        <f t="shared" si="43"/>
        <v>21</v>
      </c>
      <c r="F187" s="3">
        <f t="shared" si="44"/>
        <v>786.25</v>
      </c>
      <c r="G187" s="4">
        <f t="shared" si="45"/>
        <v>0.12</v>
      </c>
      <c r="H187" s="3" t="e">
        <f t="shared" si="46"/>
        <v>#VALUE!</v>
      </c>
      <c r="I187" s="1" t="b">
        <f t="shared" si="39"/>
        <v>0</v>
      </c>
      <c r="J187" s="1">
        <f>IF(Table1[[#This Row],[Rising Through Threshold]],Table1[[#This Row],[Start time]],J186)</f>
        <v>748</v>
      </c>
      <c r="K187" s="1" t="str">
        <f>IF(AND(Table1[[#This Row],[Rising Through Threshold]],J186&gt;0),J187-J186,"")</f>
        <v/>
      </c>
    </row>
    <row r="188" spans="1:11" x14ac:dyDescent="0.45">
      <c r="A188" s="1" t="s">
        <v>658</v>
      </c>
      <c r="B188" s="1">
        <f t="shared" si="40"/>
        <v>6</v>
      </c>
      <c r="C188" s="1">
        <f t="shared" si="41"/>
        <v>14</v>
      </c>
      <c r="D188" s="1">
        <f t="shared" si="42"/>
        <v>19</v>
      </c>
      <c r="E188" s="1">
        <f t="shared" si="43"/>
        <v>21</v>
      </c>
      <c r="F188" s="3">
        <f t="shared" si="44"/>
        <v>790.5</v>
      </c>
      <c r="G188" s="4">
        <f t="shared" si="45"/>
        <v>0.65</v>
      </c>
      <c r="H188" s="3" t="e">
        <f t="shared" si="46"/>
        <v>#VALUE!</v>
      </c>
      <c r="I188" s="1" t="b">
        <f t="shared" si="39"/>
        <v>0</v>
      </c>
      <c r="J188" s="1">
        <f>IF(Table1[[#This Row],[Rising Through Threshold]],Table1[[#This Row],[Start time]],J187)</f>
        <v>748</v>
      </c>
      <c r="K188" s="1" t="str">
        <f>IF(AND(Table1[[#This Row],[Rising Through Threshold]],J187&gt;0),J188-J187,"")</f>
        <v/>
      </c>
    </row>
    <row r="189" spans="1:11" x14ac:dyDescent="0.45">
      <c r="A189" s="1" t="s">
        <v>659</v>
      </c>
      <c r="B189" s="1">
        <f t="shared" si="40"/>
        <v>6</v>
      </c>
      <c r="C189" s="1">
        <f t="shared" si="41"/>
        <v>14</v>
      </c>
      <c r="D189" s="1">
        <f t="shared" si="42"/>
        <v>19</v>
      </c>
      <c r="E189" s="1">
        <f t="shared" si="43"/>
        <v>21</v>
      </c>
      <c r="F189" s="3">
        <f t="shared" si="44"/>
        <v>794.75</v>
      </c>
      <c r="G189" s="4">
        <f t="shared" si="45"/>
        <v>1.39</v>
      </c>
      <c r="H189" s="3" t="e">
        <f t="shared" si="46"/>
        <v>#VALUE!</v>
      </c>
      <c r="I189" s="1" t="b">
        <f t="shared" si="39"/>
        <v>0</v>
      </c>
      <c r="J189" s="1">
        <f>IF(Table1[[#This Row],[Rising Through Threshold]],Table1[[#This Row],[Start time]],J188)</f>
        <v>748</v>
      </c>
      <c r="K189" s="1" t="str">
        <f>IF(AND(Table1[[#This Row],[Rising Through Threshold]],J188&gt;0),J189-J188,"")</f>
        <v/>
      </c>
    </row>
    <row r="190" spans="1:11" x14ac:dyDescent="0.45">
      <c r="A190" s="1" t="s">
        <v>660</v>
      </c>
      <c r="B190" s="1">
        <f t="shared" si="40"/>
        <v>6</v>
      </c>
      <c r="C190" s="1">
        <f t="shared" si="41"/>
        <v>12</v>
      </c>
      <c r="D190" s="1">
        <f t="shared" si="42"/>
        <v>17</v>
      </c>
      <c r="E190" s="1">
        <f t="shared" si="43"/>
        <v>19</v>
      </c>
      <c r="F190" s="3">
        <f t="shared" si="44"/>
        <v>799</v>
      </c>
      <c r="G190" s="4">
        <f t="shared" si="45"/>
        <v>2.88</v>
      </c>
      <c r="H190" s="3" t="e">
        <f t="shared" si="46"/>
        <v>#VALUE!</v>
      </c>
      <c r="I190" s="1" t="b">
        <f t="shared" si="39"/>
        <v>1</v>
      </c>
      <c r="J190" s="1">
        <f>IF(Table1[[#This Row],[Rising Through Threshold]],Table1[[#This Row],[Start time]],J189)</f>
        <v>799</v>
      </c>
      <c r="K190" s="1">
        <f>IF(AND(Table1[[#This Row],[Rising Through Threshold]],J189&gt;0),J190-J189,"")</f>
        <v>51</v>
      </c>
    </row>
    <row r="191" spans="1:11" x14ac:dyDescent="0.45">
      <c r="A191" s="1" t="s">
        <v>661</v>
      </c>
      <c r="B191" s="1">
        <f t="shared" si="40"/>
        <v>6</v>
      </c>
      <c r="C191" s="1">
        <f t="shared" si="41"/>
        <v>14</v>
      </c>
      <c r="D191" s="1">
        <f t="shared" si="42"/>
        <v>19</v>
      </c>
      <c r="E191" s="1">
        <f t="shared" si="43"/>
        <v>21</v>
      </c>
      <c r="F191" s="3">
        <f t="shared" si="44"/>
        <v>803.25</v>
      </c>
      <c r="G191" s="4">
        <f t="shared" si="45"/>
        <v>3.45</v>
      </c>
      <c r="H191" s="3" t="e">
        <f t="shared" si="46"/>
        <v>#VALUE!</v>
      </c>
      <c r="I191" s="1" t="b">
        <f t="shared" si="39"/>
        <v>0</v>
      </c>
      <c r="J191" s="1">
        <f>IF(Table1[[#This Row],[Rising Through Threshold]],Table1[[#This Row],[Start time]],J190)</f>
        <v>799</v>
      </c>
      <c r="K191" s="1" t="str">
        <f>IF(AND(Table1[[#This Row],[Rising Through Threshold]],J190&gt;0),J191-J190,"")</f>
        <v/>
      </c>
    </row>
    <row r="192" spans="1:11" x14ac:dyDescent="0.45">
      <c r="A192" s="1" t="s">
        <v>662</v>
      </c>
      <c r="B192" s="1">
        <f t="shared" si="40"/>
        <v>6</v>
      </c>
      <c r="C192" s="1">
        <f t="shared" si="41"/>
        <v>14</v>
      </c>
      <c r="D192" s="1">
        <f t="shared" si="42"/>
        <v>19</v>
      </c>
      <c r="E192" s="1">
        <f t="shared" si="43"/>
        <v>21</v>
      </c>
      <c r="F192" s="3">
        <f t="shared" si="44"/>
        <v>807.5</v>
      </c>
      <c r="G192" s="4">
        <f t="shared" si="45"/>
        <v>3.94</v>
      </c>
      <c r="H192" s="3" t="e">
        <f t="shared" si="46"/>
        <v>#VALUE!</v>
      </c>
      <c r="I192" s="1" t="b">
        <f t="shared" si="39"/>
        <v>0</v>
      </c>
      <c r="J192" s="1">
        <f>IF(Table1[[#This Row],[Rising Through Threshold]],Table1[[#This Row],[Start time]],J191)</f>
        <v>799</v>
      </c>
      <c r="K192" s="1" t="str">
        <f>IF(AND(Table1[[#This Row],[Rising Through Threshold]],J191&gt;0),J192-J191,"")</f>
        <v/>
      </c>
    </row>
    <row r="193" spans="1:11" x14ac:dyDescent="0.45">
      <c r="A193" s="1" t="s">
        <v>663</v>
      </c>
      <c r="B193" s="1">
        <f t="shared" si="40"/>
        <v>6</v>
      </c>
      <c r="C193" s="1">
        <f t="shared" si="41"/>
        <v>14</v>
      </c>
      <c r="D193" s="1">
        <f t="shared" si="42"/>
        <v>19</v>
      </c>
      <c r="E193" s="1">
        <f t="shared" si="43"/>
        <v>21</v>
      </c>
      <c r="F193" s="3">
        <f t="shared" si="44"/>
        <v>811.75</v>
      </c>
      <c r="G193" s="4">
        <f t="shared" si="45"/>
        <v>5</v>
      </c>
      <c r="H193" s="3" t="e">
        <f t="shared" si="46"/>
        <v>#VALUE!</v>
      </c>
      <c r="I193" s="1" t="b">
        <f t="shared" si="39"/>
        <v>0</v>
      </c>
      <c r="J193" s="1">
        <f>IF(Table1[[#This Row],[Rising Through Threshold]],Table1[[#This Row],[Start time]],J192)</f>
        <v>799</v>
      </c>
      <c r="K193" s="1" t="str">
        <f>IF(AND(Table1[[#This Row],[Rising Through Threshold]],J192&gt;0),J193-J192,"")</f>
        <v/>
      </c>
    </row>
    <row r="194" spans="1:11" x14ac:dyDescent="0.45">
      <c r="A194" s="1" t="s">
        <v>664</v>
      </c>
      <c r="B194" s="1">
        <f t="shared" si="40"/>
        <v>6</v>
      </c>
      <c r="C194" s="1">
        <f t="shared" si="41"/>
        <v>12</v>
      </c>
      <c r="D194" s="1">
        <f t="shared" si="42"/>
        <v>17</v>
      </c>
      <c r="E194" s="1">
        <f t="shared" si="43"/>
        <v>19</v>
      </c>
      <c r="F194" s="3">
        <f t="shared" si="44"/>
        <v>816</v>
      </c>
      <c r="G194" s="4">
        <f t="shared" si="45"/>
        <v>4.6100000000000003</v>
      </c>
      <c r="H194" s="3" t="e">
        <f t="shared" si="46"/>
        <v>#VALUE!</v>
      </c>
      <c r="I194" s="1" t="b">
        <f t="shared" si="39"/>
        <v>0</v>
      </c>
      <c r="J194" s="1">
        <f>IF(Table1[[#This Row],[Rising Through Threshold]],Table1[[#This Row],[Start time]],J193)</f>
        <v>799</v>
      </c>
      <c r="K194" s="1" t="str">
        <f>IF(AND(Table1[[#This Row],[Rising Through Threshold]],J193&gt;0),J194-J193,"")</f>
        <v/>
      </c>
    </row>
    <row r="195" spans="1:11" x14ac:dyDescent="0.45">
      <c r="A195" s="1" t="s">
        <v>665</v>
      </c>
      <c r="B195" s="1">
        <f t="shared" si="40"/>
        <v>6</v>
      </c>
      <c r="C195" s="1">
        <f t="shared" si="41"/>
        <v>14</v>
      </c>
      <c r="D195" s="1">
        <f t="shared" si="42"/>
        <v>19</v>
      </c>
      <c r="E195" s="1">
        <f t="shared" si="43"/>
        <v>21</v>
      </c>
      <c r="F195" s="3">
        <f t="shared" si="44"/>
        <v>820.25</v>
      </c>
      <c r="G195" s="4">
        <f t="shared" si="45"/>
        <v>3.76</v>
      </c>
      <c r="H195" s="3" t="e">
        <f t="shared" si="46"/>
        <v>#VALUE!</v>
      </c>
      <c r="I195" s="1" t="b">
        <f t="shared" si="39"/>
        <v>0</v>
      </c>
      <c r="J195" s="1">
        <f>IF(Table1[[#This Row],[Rising Through Threshold]],Table1[[#This Row],[Start time]],J194)</f>
        <v>799</v>
      </c>
      <c r="K195" s="1" t="str">
        <f>IF(AND(Table1[[#This Row],[Rising Through Threshold]],J194&gt;0),J195-J194,"")</f>
        <v/>
      </c>
    </row>
    <row r="196" spans="1:11" x14ac:dyDescent="0.45">
      <c r="A196" s="1" t="s">
        <v>666</v>
      </c>
      <c r="B196" s="1">
        <f t="shared" si="40"/>
        <v>6</v>
      </c>
      <c r="C196" s="1">
        <f t="shared" si="41"/>
        <v>14</v>
      </c>
      <c r="D196" s="1">
        <f t="shared" si="42"/>
        <v>19</v>
      </c>
      <c r="E196" s="1">
        <f t="shared" si="43"/>
        <v>21</v>
      </c>
      <c r="F196" s="3">
        <f t="shared" si="44"/>
        <v>824.5</v>
      </c>
      <c r="G196" s="4">
        <f t="shared" si="45"/>
        <v>2.8</v>
      </c>
      <c r="H196" s="3" t="e">
        <f t="shared" si="46"/>
        <v>#VALUE!</v>
      </c>
      <c r="I196" s="1" t="b">
        <f t="shared" si="39"/>
        <v>0</v>
      </c>
      <c r="J196" s="1">
        <f>IF(Table1[[#This Row],[Rising Through Threshold]],Table1[[#This Row],[Start time]],J195)</f>
        <v>799</v>
      </c>
      <c r="K196" s="1" t="str">
        <f>IF(AND(Table1[[#This Row],[Rising Through Threshold]],J195&gt;0),J196-J195,"")</f>
        <v/>
      </c>
    </row>
    <row r="197" spans="1:11" x14ac:dyDescent="0.45">
      <c r="A197" s="1" t="s">
        <v>667</v>
      </c>
      <c r="B197" s="1">
        <f t="shared" si="40"/>
        <v>6</v>
      </c>
      <c r="C197" s="1">
        <f t="shared" si="41"/>
        <v>14</v>
      </c>
      <c r="D197" s="1">
        <f t="shared" si="42"/>
        <v>19</v>
      </c>
      <c r="E197" s="1">
        <f t="shared" si="43"/>
        <v>21</v>
      </c>
      <c r="F197" s="3">
        <f t="shared" si="44"/>
        <v>828.75</v>
      </c>
      <c r="G197" s="4">
        <f t="shared" si="45"/>
        <v>0.94</v>
      </c>
      <c r="H197" s="3" t="e">
        <f t="shared" si="46"/>
        <v>#VALUE!</v>
      </c>
      <c r="I197" s="1" t="b">
        <f t="shared" si="39"/>
        <v>0</v>
      </c>
      <c r="J197" s="1">
        <f>IF(Table1[[#This Row],[Rising Through Threshold]],Table1[[#This Row],[Start time]],J196)</f>
        <v>799</v>
      </c>
      <c r="K197" s="1" t="str">
        <f>IF(AND(Table1[[#This Row],[Rising Through Threshold]],J196&gt;0),J197-J196,"")</f>
        <v/>
      </c>
    </row>
    <row r="198" spans="1:11" x14ac:dyDescent="0.45">
      <c r="A198" s="1" t="s">
        <v>668</v>
      </c>
      <c r="B198" s="1">
        <f t="shared" si="40"/>
        <v>6</v>
      </c>
      <c r="C198" s="1">
        <f t="shared" si="41"/>
        <v>12</v>
      </c>
      <c r="D198" s="1">
        <f t="shared" si="42"/>
        <v>17</v>
      </c>
      <c r="E198" s="1">
        <f t="shared" si="43"/>
        <v>19</v>
      </c>
      <c r="F198" s="3">
        <f t="shared" si="44"/>
        <v>833</v>
      </c>
      <c r="G198" s="4">
        <f t="shared" si="45"/>
        <v>0.06</v>
      </c>
      <c r="H198" s="3" t="e">
        <f t="shared" si="46"/>
        <v>#VALUE!</v>
      </c>
      <c r="I198" s="1" t="b">
        <f t="shared" si="39"/>
        <v>0</v>
      </c>
      <c r="J198" s="1">
        <f>IF(Table1[[#This Row],[Rising Through Threshold]],Table1[[#This Row],[Start time]],J197)</f>
        <v>799</v>
      </c>
      <c r="K198" s="1" t="str">
        <f>IF(AND(Table1[[#This Row],[Rising Through Threshold]],J197&gt;0),J198-J197,"")</f>
        <v/>
      </c>
    </row>
    <row r="199" spans="1:11" x14ac:dyDescent="0.45">
      <c r="A199" s="1" t="s">
        <v>669</v>
      </c>
      <c r="B199" s="1">
        <f t="shared" si="40"/>
        <v>6</v>
      </c>
      <c r="C199" s="1">
        <f t="shared" si="41"/>
        <v>14</v>
      </c>
      <c r="D199" s="1">
        <f t="shared" si="42"/>
        <v>19</v>
      </c>
      <c r="E199" s="1">
        <f t="shared" si="43"/>
        <v>21</v>
      </c>
      <c r="F199" s="3">
        <f t="shared" si="44"/>
        <v>837.25</v>
      </c>
      <c r="G199" s="4">
        <f t="shared" si="45"/>
        <v>0</v>
      </c>
      <c r="H199" s="3" t="e">
        <f t="shared" si="46"/>
        <v>#VALUE!</v>
      </c>
      <c r="I199" s="1" t="b">
        <f t="shared" si="39"/>
        <v>0</v>
      </c>
      <c r="J199" s="1">
        <f>IF(Table1[[#This Row],[Rising Through Threshold]],Table1[[#This Row],[Start time]],J198)</f>
        <v>799</v>
      </c>
      <c r="K199" s="1" t="str">
        <f>IF(AND(Table1[[#This Row],[Rising Through Threshold]],J198&gt;0),J199-J198,"")</f>
        <v/>
      </c>
    </row>
    <row r="200" spans="1:11" x14ac:dyDescent="0.45">
      <c r="A200" s="1" t="s">
        <v>670</v>
      </c>
      <c r="B200" s="1">
        <f t="shared" si="40"/>
        <v>6</v>
      </c>
      <c r="C200" s="1">
        <f t="shared" si="41"/>
        <v>14</v>
      </c>
      <c r="D200" s="1">
        <f t="shared" si="42"/>
        <v>19</v>
      </c>
      <c r="E200" s="1">
        <f t="shared" si="43"/>
        <v>21</v>
      </c>
      <c r="F200" s="3">
        <f t="shared" si="44"/>
        <v>841.5</v>
      </c>
      <c r="G200" s="4">
        <f t="shared" si="45"/>
        <v>0.61</v>
      </c>
      <c r="H200" s="3" t="e">
        <f t="shared" si="46"/>
        <v>#VALUE!</v>
      </c>
      <c r="I200" s="1" t="b">
        <f t="shared" si="39"/>
        <v>0</v>
      </c>
      <c r="J200" s="1">
        <f>IF(Table1[[#This Row],[Rising Through Threshold]],Table1[[#This Row],[Start time]],J199)</f>
        <v>799</v>
      </c>
      <c r="K200" s="1" t="str">
        <f>IF(AND(Table1[[#This Row],[Rising Through Threshold]],J199&gt;0),J200-J199,"")</f>
        <v/>
      </c>
    </row>
    <row r="201" spans="1:11" x14ac:dyDescent="0.45">
      <c r="A201" s="1" t="s">
        <v>671</v>
      </c>
      <c r="B201" s="1">
        <f t="shared" si="40"/>
        <v>6</v>
      </c>
      <c r="C201" s="1">
        <f t="shared" si="41"/>
        <v>14</v>
      </c>
      <c r="D201" s="1">
        <f t="shared" si="42"/>
        <v>19</v>
      </c>
      <c r="E201" s="1">
        <f t="shared" si="43"/>
        <v>21</v>
      </c>
      <c r="F201" s="3">
        <f t="shared" si="44"/>
        <v>845.75</v>
      </c>
      <c r="G201" s="4">
        <f t="shared" si="45"/>
        <v>1.33</v>
      </c>
      <c r="H201" s="3" t="e">
        <f t="shared" si="46"/>
        <v>#VALUE!</v>
      </c>
      <c r="I201" s="1" t="b">
        <f t="shared" si="39"/>
        <v>0</v>
      </c>
      <c r="J201" s="1">
        <f>IF(Table1[[#This Row],[Rising Through Threshold]],Table1[[#This Row],[Start time]],J200)</f>
        <v>799</v>
      </c>
      <c r="K201" s="1" t="str">
        <f>IF(AND(Table1[[#This Row],[Rising Through Threshold]],J200&gt;0),J201-J200,"")</f>
        <v/>
      </c>
    </row>
    <row r="202" spans="1:11" x14ac:dyDescent="0.45">
      <c r="A202" s="1" t="s">
        <v>672</v>
      </c>
      <c r="B202" s="1">
        <f t="shared" si="40"/>
        <v>6</v>
      </c>
      <c r="C202" s="1">
        <f t="shared" si="41"/>
        <v>12</v>
      </c>
      <c r="D202" s="1">
        <f t="shared" si="42"/>
        <v>17</v>
      </c>
      <c r="E202" s="1">
        <f t="shared" si="43"/>
        <v>19</v>
      </c>
      <c r="F202" s="3">
        <f t="shared" si="44"/>
        <v>850</v>
      </c>
      <c r="G202" s="4">
        <f t="shared" si="45"/>
        <v>2.12</v>
      </c>
      <c r="H202" s="3" t="e">
        <f t="shared" si="46"/>
        <v>#VALUE!</v>
      </c>
      <c r="I202" s="1" t="b">
        <f t="shared" si="39"/>
        <v>0</v>
      </c>
      <c r="J202" s="1">
        <f>IF(Table1[[#This Row],[Rising Through Threshold]],Table1[[#This Row],[Start time]],J201)</f>
        <v>799</v>
      </c>
      <c r="K202" s="1" t="str">
        <f>IF(AND(Table1[[#This Row],[Rising Through Threshold]],J201&gt;0),J202-J201,"")</f>
        <v/>
      </c>
    </row>
    <row r="203" spans="1:11" x14ac:dyDescent="0.45">
      <c r="A203" s="1" t="s">
        <v>673</v>
      </c>
      <c r="B203" s="1">
        <f t="shared" si="40"/>
        <v>6</v>
      </c>
      <c r="C203" s="1">
        <f t="shared" si="41"/>
        <v>14</v>
      </c>
      <c r="D203" s="1">
        <f t="shared" si="42"/>
        <v>19</v>
      </c>
      <c r="E203" s="1">
        <f t="shared" si="43"/>
        <v>21</v>
      </c>
      <c r="F203" s="3">
        <f t="shared" si="44"/>
        <v>854.25</v>
      </c>
      <c r="G203" s="4">
        <f t="shared" si="45"/>
        <v>2.8</v>
      </c>
      <c r="H203" s="3" t="e">
        <f t="shared" si="46"/>
        <v>#VALUE!</v>
      </c>
      <c r="I203" s="1" t="b">
        <f t="shared" si="39"/>
        <v>1</v>
      </c>
      <c r="J203" s="1">
        <f>IF(Table1[[#This Row],[Rising Through Threshold]],Table1[[#This Row],[Start time]],J202)</f>
        <v>854.25</v>
      </c>
      <c r="K203" s="1">
        <f>IF(AND(Table1[[#This Row],[Rising Through Threshold]],J202&gt;0),J203-J202,"")</f>
        <v>55.25</v>
      </c>
    </row>
    <row r="204" spans="1:11" x14ac:dyDescent="0.45">
      <c r="A204" s="1" t="s">
        <v>674</v>
      </c>
      <c r="B204" s="1">
        <f t="shared" si="40"/>
        <v>6</v>
      </c>
      <c r="C204" s="1">
        <f t="shared" si="41"/>
        <v>14</v>
      </c>
      <c r="D204" s="1">
        <f t="shared" si="42"/>
        <v>19</v>
      </c>
      <c r="E204" s="1">
        <f t="shared" si="43"/>
        <v>21</v>
      </c>
      <c r="F204" s="3">
        <f t="shared" si="44"/>
        <v>858.5</v>
      </c>
      <c r="G204" s="4">
        <f t="shared" si="45"/>
        <v>3.9</v>
      </c>
      <c r="H204" s="3" t="e">
        <f t="shared" si="46"/>
        <v>#VALUE!</v>
      </c>
      <c r="I204" s="1" t="b">
        <f t="shared" si="39"/>
        <v>0</v>
      </c>
      <c r="J204" s="1">
        <f>IF(Table1[[#This Row],[Rising Through Threshold]],Table1[[#This Row],[Start time]],J203)</f>
        <v>854.25</v>
      </c>
      <c r="K204" s="1" t="str">
        <f>IF(AND(Table1[[#This Row],[Rising Through Threshold]],J203&gt;0),J204-J203,"")</f>
        <v/>
      </c>
    </row>
    <row r="205" spans="1:11" x14ac:dyDescent="0.45">
      <c r="A205" s="1" t="s">
        <v>675</v>
      </c>
      <c r="B205" s="1">
        <f t="shared" si="40"/>
        <v>6</v>
      </c>
      <c r="C205" s="1">
        <f t="shared" si="41"/>
        <v>14</v>
      </c>
      <c r="D205" s="1">
        <f t="shared" si="42"/>
        <v>19</v>
      </c>
      <c r="E205" s="1">
        <f t="shared" si="43"/>
        <v>21</v>
      </c>
      <c r="F205" s="3">
        <f t="shared" si="44"/>
        <v>862.75</v>
      </c>
      <c r="G205" s="4">
        <f t="shared" si="45"/>
        <v>4.8600000000000003</v>
      </c>
      <c r="H205" s="3" t="e">
        <f t="shared" si="46"/>
        <v>#VALUE!</v>
      </c>
      <c r="I205" s="1" t="b">
        <f t="shared" si="39"/>
        <v>0</v>
      </c>
      <c r="J205" s="1">
        <f>IF(Table1[[#This Row],[Rising Through Threshold]],Table1[[#This Row],[Start time]],J204)</f>
        <v>854.25</v>
      </c>
      <c r="K205" s="1" t="str">
        <f>IF(AND(Table1[[#This Row],[Rising Through Threshold]],J204&gt;0),J205-J204,"")</f>
        <v/>
      </c>
    </row>
    <row r="206" spans="1:11" x14ac:dyDescent="0.45">
      <c r="A206" s="1" t="s">
        <v>676</v>
      </c>
      <c r="B206" s="1">
        <f t="shared" si="40"/>
        <v>6</v>
      </c>
      <c r="C206" s="1">
        <f t="shared" si="41"/>
        <v>12</v>
      </c>
      <c r="D206" s="1">
        <f t="shared" si="42"/>
        <v>17</v>
      </c>
      <c r="E206" s="1">
        <f t="shared" si="43"/>
        <v>19</v>
      </c>
      <c r="F206" s="3">
        <f t="shared" si="44"/>
        <v>867</v>
      </c>
      <c r="G206" s="4">
        <f t="shared" si="45"/>
        <v>5</v>
      </c>
      <c r="H206" s="3" t="e">
        <f t="shared" si="46"/>
        <v>#VALUE!</v>
      </c>
      <c r="I206" s="1" t="b">
        <f t="shared" si="39"/>
        <v>0</v>
      </c>
      <c r="J206" s="1">
        <f>IF(Table1[[#This Row],[Rising Through Threshold]],Table1[[#This Row],[Start time]],J205)</f>
        <v>854.25</v>
      </c>
      <c r="K206" s="1" t="str">
        <f>IF(AND(Table1[[#This Row],[Rising Through Threshold]],J205&gt;0),J206-J205,"")</f>
        <v/>
      </c>
    </row>
    <row r="207" spans="1:11" x14ac:dyDescent="0.45">
      <c r="A207" s="1" t="s">
        <v>677</v>
      </c>
      <c r="B207" s="1">
        <f t="shared" si="40"/>
        <v>6</v>
      </c>
      <c r="C207" s="1">
        <f t="shared" si="41"/>
        <v>14</v>
      </c>
      <c r="D207" s="1">
        <f t="shared" si="42"/>
        <v>19</v>
      </c>
      <c r="E207" s="1">
        <f t="shared" si="43"/>
        <v>21</v>
      </c>
      <c r="F207" s="3">
        <f t="shared" si="44"/>
        <v>871.25</v>
      </c>
      <c r="G207" s="4">
        <f t="shared" si="45"/>
        <v>3.76</v>
      </c>
      <c r="H207" s="3" t="e">
        <f t="shared" si="46"/>
        <v>#VALUE!</v>
      </c>
      <c r="I207" s="1" t="b">
        <f t="shared" si="39"/>
        <v>0</v>
      </c>
      <c r="J207" s="1">
        <f>IF(Table1[[#This Row],[Rising Through Threshold]],Table1[[#This Row],[Start time]],J206)</f>
        <v>854.25</v>
      </c>
      <c r="K207" s="1" t="str">
        <f>IF(AND(Table1[[#This Row],[Rising Through Threshold]],J206&gt;0),J207-J206,"")</f>
        <v/>
      </c>
    </row>
    <row r="208" spans="1:11" x14ac:dyDescent="0.45">
      <c r="A208" s="1" t="s">
        <v>678</v>
      </c>
      <c r="B208" s="1">
        <f t="shared" si="40"/>
        <v>6</v>
      </c>
      <c r="C208" s="1">
        <f t="shared" si="41"/>
        <v>14</v>
      </c>
      <c r="D208" s="1">
        <f t="shared" si="42"/>
        <v>19</v>
      </c>
      <c r="E208" s="1">
        <f t="shared" si="43"/>
        <v>21</v>
      </c>
      <c r="F208" s="3">
        <f t="shared" si="44"/>
        <v>875.5</v>
      </c>
      <c r="G208" s="4">
        <f t="shared" si="45"/>
        <v>2.8</v>
      </c>
      <c r="H208" s="3" t="e">
        <f t="shared" si="46"/>
        <v>#VALUE!</v>
      </c>
      <c r="I208" s="1" t="b">
        <f t="shared" si="39"/>
        <v>0</v>
      </c>
      <c r="J208" s="1">
        <f>IF(Table1[[#This Row],[Rising Through Threshold]],Table1[[#This Row],[Start time]],J207)</f>
        <v>854.25</v>
      </c>
      <c r="K208" s="1" t="str">
        <f>IF(AND(Table1[[#This Row],[Rising Through Threshold]],J207&gt;0),J208-J207,"")</f>
        <v/>
      </c>
    </row>
    <row r="209" spans="1:11" x14ac:dyDescent="0.45">
      <c r="A209" s="1" t="s">
        <v>679</v>
      </c>
      <c r="B209" s="1">
        <f t="shared" si="40"/>
        <v>6</v>
      </c>
      <c r="C209" s="1">
        <f t="shared" si="41"/>
        <v>14</v>
      </c>
      <c r="D209" s="1">
        <f t="shared" si="42"/>
        <v>19</v>
      </c>
      <c r="E209" s="1">
        <f t="shared" si="43"/>
        <v>21</v>
      </c>
      <c r="F209" s="3">
        <f t="shared" si="44"/>
        <v>879.75</v>
      </c>
      <c r="G209" s="4">
        <f t="shared" si="45"/>
        <v>1.88</v>
      </c>
      <c r="H209" s="3" t="e">
        <f t="shared" si="46"/>
        <v>#VALUE!</v>
      </c>
      <c r="I209" s="1" t="b">
        <f t="shared" si="39"/>
        <v>0</v>
      </c>
      <c r="J209" s="1">
        <f>IF(Table1[[#This Row],[Rising Through Threshold]],Table1[[#This Row],[Start time]],J208)</f>
        <v>854.25</v>
      </c>
      <c r="K209" s="1" t="str">
        <f>IF(AND(Table1[[#This Row],[Rising Through Threshold]],J208&gt;0),J209-J208,"")</f>
        <v/>
      </c>
    </row>
    <row r="210" spans="1:11" x14ac:dyDescent="0.45">
      <c r="A210" s="1" t="s">
        <v>680</v>
      </c>
      <c r="B210" s="1">
        <f t="shared" si="40"/>
        <v>6</v>
      </c>
      <c r="C210" s="1">
        <f t="shared" si="41"/>
        <v>12</v>
      </c>
      <c r="D210" s="1">
        <f t="shared" si="42"/>
        <v>17</v>
      </c>
      <c r="E210" s="1">
        <f t="shared" si="43"/>
        <v>19</v>
      </c>
      <c r="F210" s="3">
        <f t="shared" si="44"/>
        <v>884</v>
      </c>
      <c r="G210" s="4">
        <f t="shared" si="45"/>
        <v>0.06</v>
      </c>
      <c r="H210" s="3" t="e">
        <f t="shared" si="46"/>
        <v>#VALUE!</v>
      </c>
      <c r="I210" s="1" t="b">
        <f t="shared" si="39"/>
        <v>0</v>
      </c>
      <c r="J210" s="1">
        <f>IF(Table1[[#This Row],[Rising Through Threshold]],Table1[[#This Row],[Start time]],J209)</f>
        <v>854.25</v>
      </c>
      <c r="K210" s="1" t="str">
        <f>IF(AND(Table1[[#This Row],[Rising Through Threshold]],J209&gt;0),J210-J209,"")</f>
        <v/>
      </c>
    </row>
    <row r="211" spans="1:11" x14ac:dyDescent="0.45">
      <c r="A211" s="1" t="s">
        <v>681</v>
      </c>
      <c r="B211" s="1">
        <f t="shared" si="40"/>
        <v>6</v>
      </c>
      <c r="C211" s="1">
        <f t="shared" si="41"/>
        <v>14</v>
      </c>
      <c r="D211" s="1">
        <f t="shared" si="42"/>
        <v>19</v>
      </c>
      <c r="E211" s="1">
        <f t="shared" si="43"/>
        <v>21</v>
      </c>
      <c r="F211" s="3">
        <f t="shared" si="44"/>
        <v>888.25</v>
      </c>
      <c r="G211" s="4">
        <f t="shared" si="45"/>
        <v>0</v>
      </c>
      <c r="H211" s="3" t="e">
        <f t="shared" si="46"/>
        <v>#VALUE!</v>
      </c>
      <c r="I211" s="1" t="b">
        <f t="shared" si="39"/>
        <v>0</v>
      </c>
      <c r="J211" s="1">
        <f>IF(Table1[[#This Row],[Rising Through Threshold]],Table1[[#This Row],[Start time]],J210)</f>
        <v>854.25</v>
      </c>
      <c r="K211" s="1" t="str">
        <f>IF(AND(Table1[[#This Row],[Rising Through Threshold]],J210&gt;0),J211-J210,"")</f>
        <v/>
      </c>
    </row>
    <row r="212" spans="1:11" x14ac:dyDescent="0.45">
      <c r="A212" s="1" t="s">
        <v>682</v>
      </c>
      <c r="B212" s="1">
        <f t="shared" si="40"/>
        <v>6</v>
      </c>
      <c r="C212" s="1">
        <f t="shared" si="41"/>
        <v>14</v>
      </c>
      <c r="D212" s="1">
        <f t="shared" si="42"/>
        <v>19</v>
      </c>
      <c r="E212" s="1">
        <f t="shared" si="43"/>
        <v>21</v>
      </c>
      <c r="F212" s="3">
        <f t="shared" si="44"/>
        <v>892.5</v>
      </c>
      <c r="G212" s="4">
        <f t="shared" si="45"/>
        <v>0.06</v>
      </c>
      <c r="H212" s="3" t="e">
        <f t="shared" si="46"/>
        <v>#VALUE!</v>
      </c>
      <c r="I212" s="1" t="b">
        <f t="shared" si="39"/>
        <v>0</v>
      </c>
      <c r="J212" s="1">
        <f>IF(Table1[[#This Row],[Rising Through Threshold]],Table1[[#This Row],[Start time]],J211)</f>
        <v>854.25</v>
      </c>
      <c r="K212" s="1" t="str">
        <f>IF(AND(Table1[[#This Row],[Rising Through Threshold]],J211&gt;0),J212-J211,"")</f>
        <v/>
      </c>
    </row>
    <row r="213" spans="1:11" x14ac:dyDescent="0.45">
      <c r="A213" s="1" t="s">
        <v>683</v>
      </c>
      <c r="B213" s="1">
        <f t="shared" si="40"/>
        <v>6</v>
      </c>
      <c r="C213" s="1">
        <f t="shared" si="41"/>
        <v>14</v>
      </c>
      <c r="D213" s="1">
        <f t="shared" si="42"/>
        <v>19</v>
      </c>
      <c r="E213" s="1">
        <f t="shared" si="43"/>
        <v>21</v>
      </c>
      <c r="F213" s="3">
        <f t="shared" si="44"/>
        <v>896.75</v>
      </c>
      <c r="G213" s="4">
        <f t="shared" si="45"/>
        <v>0.61</v>
      </c>
      <c r="H213" s="3" t="e">
        <f t="shared" si="46"/>
        <v>#VALUE!</v>
      </c>
      <c r="I213" s="1" t="b">
        <f t="shared" si="39"/>
        <v>0</v>
      </c>
      <c r="J213" s="1">
        <f>IF(Table1[[#This Row],[Rising Through Threshold]],Table1[[#This Row],[Start time]],J212)</f>
        <v>854.25</v>
      </c>
      <c r="K213" s="1" t="str">
        <f>IF(AND(Table1[[#This Row],[Rising Through Threshold]],J212&gt;0),J213-J212,"")</f>
        <v/>
      </c>
    </row>
    <row r="214" spans="1:11" x14ac:dyDescent="0.45">
      <c r="A214" s="1" t="s">
        <v>684</v>
      </c>
      <c r="B214" s="1">
        <f t="shared" si="40"/>
        <v>6</v>
      </c>
      <c r="C214" s="1">
        <f t="shared" si="41"/>
        <v>12</v>
      </c>
      <c r="D214" s="1">
        <f t="shared" si="42"/>
        <v>17</v>
      </c>
      <c r="E214" s="1">
        <f t="shared" si="43"/>
        <v>19</v>
      </c>
      <c r="F214" s="3">
        <f t="shared" si="44"/>
        <v>901</v>
      </c>
      <c r="G214" s="4">
        <f t="shared" si="45"/>
        <v>2.04</v>
      </c>
      <c r="H214" s="3" t="e">
        <f t="shared" si="46"/>
        <v>#VALUE!</v>
      </c>
      <c r="I214" s="1" t="b">
        <f t="shared" si="39"/>
        <v>0</v>
      </c>
      <c r="J214" s="1">
        <f>IF(Table1[[#This Row],[Rising Through Threshold]],Table1[[#This Row],[Start time]],J213)</f>
        <v>854.25</v>
      </c>
      <c r="K214" s="1" t="str">
        <f>IF(AND(Table1[[#This Row],[Rising Through Threshold]],J213&gt;0),J214-J213,"")</f>
        <v/>
      </c>
    </row>
    <row r="215" spans="1:11" x14ac:dyDescent="0.45">
      <c r="A215" s="1" t="s">
        <v>685</v>
      </c>
      <c r="B215" s="1">
        <f t="shared" si="40"/>
        <v>6</v>
      </c>
      <c r="C215" s="1">
        <f t="shared" si="41"/>
        <v>14</v>
      </c>
      <c r="D215" s="1">
        <f t="shared" si="42"/>
        <v>19</v>
      </c>
      <c r="E215" s="1">
        <f t="shared" si="43"/>
        <v>21</v>
      </c>
      <c r="F215" s="3">
        <f t="shared" si="44"/>
        <v>905.25</v>
      </c>
      <c r="G215" s="4">
        <f t="shared" si="45"/>
        <v>2.78</v>
      </c>
      <c r="H215" s="3" t="e">
        <f t="shared" si="46"/>
        <v>#VALUE!</v>
      </c>
      <c r="I215" s="1" t="b">
        <f t="shared" si="39"/>
        <v>1</v>
      </c>
      <c r="J215" s="1">
        <f>IF(Table1[[#This Row],[Rising Through Threshold]],Table1[[#This Row],[Start time]],J214)</f>
        <v>905.25</v>
      </c>
      <c r="K215" s="1">
        <f>IF(AND(Table1[[#This Row],[Rising Through Threshold]],J214&gt;0),J215-J214,"")</f>
        <v>51</v>
      </c>
    </row>
    <row r="216" spans="1:11" x14ac:dyDescent="0.45">
      <c r="A216" s="1" t="s">
        <v>686</v>
      </c>
      <c r="B216" s="1">
        <f t="shared" si="40"/>
        <v>6</v>
      </c>
      <c r="C216" s="1">
        <f t="shared" si="41"/>
        <v>14</v>
      </c>
      <c r="D216" s="1">
        <f t="shared" si="42"/>
        <v>19</v>
      </c>
      <c r="E216" s="1">
        <f t="shared" si="43"/>
        <v>21</v>
      </c>
      <c r="F216" s="3">
        <f t="shared" si="44"/>
        <v>909.5</v>
      </c>
      <c r="G216" s="4">
        <f t="shared" si="45"/>
        <v>3.37</v>
      </c>
      <c r="H216" s="3" t="e">
        <f t="shared" si="46"/>
        <v>#VALUE!</v>
      </c>
      <c r="I216" s="1" t="b">
        <f t="shared" si="39"/>
        <v>0</v>
      </c>
      <c r="J216" s="1">
        <f>IF(Table1[[#This Row],[Rising Through Threshold]],Table1[[#This Row],[Start time]],J215)</f>
        <v>905.25</v>
      </c>
      <c r="K216" s="1" t="str">
        <f>IF(AND(Table1[[#This Row],[Rising Through Threshold]],J215&gt;0),J216-J215,"")</f>
        <v/>
      </c>
    </row>
    <row r="217" spans="1:11" x14ac:dyDescent="0.45">
      <c r="A217" s="1" t="s">
        <v>687</v>
      </c>
      <c r="B217" s="1">
        <f t="shared" si="40"/>
        <v>6</v>
      </c>
      <c r="C217" s="1">
        <f t="shared" si="41"/>
        <v>14</v>
      </c>
      <c r="D217" s="1">
        <f t="shared" si="42"/>
        <v>19</v>
      </c>
      <c r="E217" s="1">
        <f t="shared" si="43"/>
        <v>21</v>
      </c>
      <c r="F217" s="3">
        <f t="shared" si="44"/>
        <v>913.75</v>
      </c>
      <c r="G217" s="4">
        <f t="shared" si="45"/>
        <v>4.78</v>
      </c>
      <c r="H217" s="3" t="e">
        <f t="shared" si="46"/>
        <v>#VALUE!</v>
      </c>
      <c r="I217" s="1" t="b">
        <f t="shared" si="39"/>
        <v>0</v>
      </c>
      <c r="J217" s="1">
        <f>IF(Table1[[#This Row],[Rising Through Threshold]],Table1[[#This Row],[Start time]],J216)</f>
        <v>905.25</v>
      </c>
      <c r="K217" s="1" t="str">
        <f>IF(AND(Table1[[#This Row],[Rising Through Threshold]],J216&gt;0),J217-J216,"")</f>
        <v/>
      </c>
    </row>
    <row r="218" spans="1:11" x14ac:dyDescent="0.45">
      <c r="A218" s="1" t="s">
        <v>688</v>
      </c>
      <c r="B218" s="1">
        <f t="shared" si="40"/>
        <v>6</v>
      </c>
      <c r="C218" s="1">
        <f t="shared" si="41"/>
        <v>12</v>
      </c>
      <c r="D218" s="1">
        <f t="shared" si="42"/>
        <v>17</v>
      </c>
      <c r="E218" s="1">
        <f t="shared" si="43"/>
        <v>19</v>
      </c>
      <c r="F218" s="3">
        <f t="shared" si="44"/>
        <v>918</v>
      </c>
      <c r="G218" s="4">
        <f t="shared" si="45"/>
        <v>5</v>
      </c>
      <c r="H218" s="3" t="e">
        <f t="shared" si="46"/>
        <v>#VALUE!</v>
      </c>
      <c r="I218" s="1" t="b">
        <f t="shared" si="39"/>
        <v>0</v>
      </c>
      <c r="J218" s="1">
        <f>IF(Table1[[#This Row],[Rising Through Threshold]],Table1[[#This Row],[Start time]],J217)</f>
        <v>905.25</v>
      </c>
      <c r="K218" s="1" t="str">
        <f>IF(AND(Table1[[#This Row],[Rising Through Threshold]],J217&gt;0),J218-J217,"")</f>
        <v/>
      </c>
    </row>
    <row r="219" spans="1:11" x14ac:dyDescent="0.45">
      <c r="A219" s="1" t="s">
        <v>689</v>
      </c>
      <c r="B219" s="1">
        <f t="shared" si="40"/>
        <v>6</v>
      </c>
      <c r="C219" s="1">
        <f t="shared" si="41"/>
        <v>14</v>
      </c>
      <c r="D219" s="1">
        <f t="shared" si="42"/>
        <v>19</v>
      </c>
      <c r="E219" s="1">
        <f t="shared" si="43"/>
        <v>21</v>
      </c>
      <c r="F219" s="3">
        <f t="shared" si="44"/>
        <v>922.25</v>
      </c>
      <c r="G219" s="4">
        <f t="shared" si="45"/>
        <v>4.71</v>
      </c>
      <c r="H219" s="3" t="e">
        <f t="shared" si="46"/>
        <v>#VALUE!</v>
      </c>
      <c r="I219" s="1" t="b">
        <f t="shared" si="39"/>
        <v>0</v>
      </c>
      <c r="J219" s="1">
        <f>IF(Table1[[#This Row],[Rising Through Threshold]],Table1[[#This Row],[Start time]],J218)</f>
        <v>905.25</v>
      </c>
      <c r="K219" s="1" t="str">
        <f>IF(AND(Table1[[#This Row],[Rising Through Threshold]],J218&gt;0),J219-J218,"")</f>
        <v/>
      </c>
    </row>
    <row r="220" spans="1:11" x14ac:dyDescent="0.45">
      <c r="A220" s="1" t="s">
        <v>690</v>
      </c>
      <c r="B220" s="1">
        <f t="shared" si="40"/>
        <v>6</v>
      </c>
      <c r="C220" s="1">
        <f t="shared" si="41"/>
        <v>14</v>
      </c>
      <c r="D220" s="1">
        <f t="shared" si="42"/>
        <v>19</v>
      </c>
      <c r="E220" s="1">
        <f t="shared" si="43"/>
        <v>21</v>
      </c>
      <c r="F220" s="3">
        <f t="shared" si="44"/>
        <v>926.5</v>
      </c>
      <c r="G220" s="4">
        <f t="shared" si="45"/>
        <v>3.78</v>
      </c>
      <c r="H220" s="3" t="e">
        <f t="shared" si="46"/>
        <v>#VALUE!</v>
      </c>
      <c r="I220" s="1" t="b">
        <f t="shared" si="39"/>
        <v>0</v>
      </c>
      <c r="J220" s="1">
        <f>IF(Table1[[#This Row],[Rising Through Threshold]],Table1[[#This Row],[Start time]],J219)</f>
        <v>905.25</v>
      </c>
      <c r="K220" s="1" t="str">
        <f>IF(AND(Table1[[#This Row],[Rising Through Threshold]],J219&gt;0),J220-J219,"")</f>
        <v/>
      </c>
    </row>
    <row r="221" spans="1:11" x14ac:dyDescent="0.45">
      <c r="A221" s="1" t="s">
        <v>691</v>
      </c>
      <c r="B221" s="1">
        <f t="shared" si="40"/>
        <v>6</v>
      </c>
      <c r="C221" s="1">
        <f t="shared" si="41"/>
        <v>14</v>
      </c>
      <c r="D221" s="1">
        <f t="shared" si="42"/>
        <v>19</v>
      </c>
      <c r="E221" s="1">
        <f t="shared" si="43"/>
        <v>21</v>
      </c>
      <c r="F221" s="3">
        <f t="shared" si="44"/>
        <v>930.75</v>
      </c>
      <c r="G221" s="4">
        <f t="shared" si="45"/>
        <v>1.9</v>
      </c>
      <c r="H221" s="3" t="e">
        <f t="shared" si="46"/>
        <v>#VALUE!</v>
      </c>
      <c r="I221" s="1" t="b">
        <f t="shared" si="39"/>
        <v>0</v>
      </c>
      <c r="J221" s="1">
        <f>IF(Table1[[#This Row],[Rising Through Threshold]],Table1[[#This Row],[Start time]],J220)</f>
        <v>905.25</v>
      </c>
      <c r="K221" s="1" t="str">
        <f>IF(AND(Table1[[#This Row],[Rising Through Threshold]],J220&gt;0),J221-J220,"")</f>
        <v/>
      </c>
    </row>
    <row r="222" spans="1:11" x14ac:dyDescent="0.45">
      <c r="A222" s="1" t="s">
        <v>692</v>
      </c>
      <c r="B222" s="1">
        <f t="shared" si="40"/>
        <v>6</v>
      </c>
      <c r="C222" s="1">
        <f t="shared" si="41"/>
        <v>12</v>
      </c>
      <c r="D222" s="1">
        <f t="shared" si="42"/>
        <v>17</v>
      </c>
      <c r="E222" s="1">
        <f t="shared" si="43"/>
        <v>19</v>
      </c>
      <c r="F222" s="3">
        <f t="shared" si="44"/>
        <v>935</v>
      </c>
      <c r="G222" s="4">
        <f t="shared" si="45"/>
        <v>0.94</v>
      </c>
      <c r="H222" s="3" t="e">
        <f t="shared" si="46"/>
        <v>#VALUE!</v>
      </c>
      <c r="I222" s="1" t="b">
        <f t="shared" si="39"/>
        <v>0</v>
      </c>
      <c r="J222" s="1">
        <f>IF(Table1[[#This Row],[Rising Through Threshold]],Table1[[#This Row],[Start time]],J221)</f>
        <v>905.25</v>
      </c>
      <c r="K222" s="1" t="str">
        <f>IF(AND(Table1[[#This Row],[Rising Through Threshold]],J221&gt;0),J222-J221,"")</f>
        <v/>
      </c>
    </row>
    <row r="223" spans="1:11" x14ac:dyDescent="0.45">
      <c r="A223" s="1" t="s">
        <v>693</v>
      </c>
      <c r="B223" s="1">
        <f t="shared" si="40"/>
        <v>6</v>
      </c>
      <c r="C223" s="1">
        <f t="shared" si="41"/>
        <v>14</v>
      </c>
      <c r="D223" s="1">
        <f t="shared" si="42"/>
        <v>19</v>
      </c>
      <c r="E223" s="1">
        <f t="shared" si="43"/>
        <v>21</v>
      </c>
      <c r="F223" s="3">
        <f t="shared" si="44"/>
        <v>939.25</v>
      </c>
      <c r="G223" s="4">
        <f t="shared" si="45"/>
        <v>0.06</v>
      </c>
      <c r="H223" s="3" t="e">
        <f t="shared" si="46"/>
        <v>#VALUE!</v>
      </c>
      <c r="I223" s="1" t="b">
        <f t="shared" si="39"/>
        <v>0</v>
      </c>
      <c r="J223" s="1">
        <f>IF(Table1[[#This Row],[Rising Through Threshold]],Table1[[#This Row],[Start time]],J222)</f>
        <v>905.25</v>
      </c>
      <c r="K223" s="1" t="str">
        <f>IF(AND(Table1[[#This Row],[Rising Through Threshold]],J222&gt;0),J223-J222,"")</f>
        <v/>
      </c>
    </row>
    <row r="224" spans="1:11" x14ac:dyDescent="0.45">
      <c r="A224" s="1" t="s">
        <v>694</v>
      </c>
      <c r="B224" s="1">
        <f t="shared" si="40"/>
        <v>6</v>
      </c>
      <c r="C224" s="1">
        <f t="shared" si="41"/>
        <v>14</v>
      </c>
      <c r="D224" s="1">
        <f t="shared" si="42"/>
        <v>19</v>
      </c>
      <c r="E224" s="1">
        <f t="shared" si="43"/>
        <v>21</v>
      </c>
      <c r="F224" s="3">
        <f t="shared" si="44"/>
        <v>943.5</v>
      </c>
      <c r="G224" s="4">
        <f t="shared" si="45"/>
        <v>0.02</v>
      </c>
      <c r="H224" s="3" t="e">
        <f t="shared" si="46"/>
        <v>#VALUE!</v>
      </c>
      <c r="I224" s="1" t="b">
        <f t="shared" si="39"/>
        <v>0</v>
      </c>
      <c r="J224" s="1">
        <f>IF(Table1[[#This Row],[Rising Through Threshold]],Table1[[#This Row],[Start time]],J223)</f>
        <v>905.25</v>
      </c>
      <c r="K224" s="1" t="str">
        <f>IF(AND(Table1[[#This Row],[Rising Through Threshold]],J223&gt;0),J224-J223,"")</f>
        <v/>
      </c>
    </row>
    <row r="225" spans="1:11" x14ac:dyDescent="0.45">
      <c r="A225" s="1" t="s">
        <v>695</v>
      </c>
      <c r="B225" s="1">
        <f t="shared" si="40"/>
        <v>6</v>
      </c>
      <c r="C225" s="1">
        <f t="shared" si="41"/>
        <v>14</v>
      </c>
      <c r="D225" s="1">
        <f t="shared" si="42"/>
        <v>19</v>
      </c>
      <c r="E225" s="1">
        <f t="shared" si="43"/>
        <v>21</v>
      </c>
      <c r="F225" s="3">
        <f t="shared" si="44"/>
        <v>947.75</v>
      </c>
      <c r="G225" s="4">
        <f t="shared" si="45"/>
        <v>0.59</v>
      </c>
      <c r="H225" s="3" t="e">
        <f t="shared" si="46"/>
        <v>#VALUE!</v>
      </c>
      <c r="I225" s="1" t="b">
        <f t="shared" si="39"/>
        <v>0</v>
      </c>
      <c r="J225" s="1">
        <f>IF(Table1[[#This Row],[Rising Through Threshold]],Table1[[#This Row],[Start time]],J224)</f>
        <v>905.25</v>
      </c>
      <c r="K225" s="1" t="str">
        <f>IF(AND(Table1[[#This Row],[Rising Through Threshold]],J224&gt;0),J225-J224,"")</f>
        <v/>
      </c>
    </row>
    <row r="226" spans="1:11" x14ac:dyDescent="0.45">
      <c r="A226" s="1" t="s">
        <v>696</v>
      </c>
      <c r="B226" s="1">
        <f t="shared" si="40"/>
        <v>6</v>
      </c>
      <c r="C226" s="1">
        <f t="shared" si="41"/>
        <v>12</v>
      </c>
      <c r="D226" s="1">
        <f t="shared" si="42"/>
        <v>17</v>
      </c>
      <c r="E226" s="1">
        <f t="shared" si="43"/>
        <v>19</v>
      </c>
      <c r="F226" s="3">
        <f t="shared" si="44"/>
        <v>952</v>
      </c>
      <c r="G226" s="4">
        <f t="shared" si="45"/>
        <v>1.24</v>
      </c>
      <c r="H226" s="3" t="e">
        <f t="shared" si="46"/>
        <v>#VALUE!</v>
      </c>
      <c r="I226" s="1" t="b">
        <f t="shared" si="39"/>
        <v>0</v>
      </c>
      <c r="J226" s="1">
        <f>IF(Table1[[#This Row],[Rising Through Threshold]],Table1[[#This Row],[Start time]],J225)</f>
        <v>905.25</v>
      </c>
      <c r="K226" s="1" t="str">
        <f>IF(AND(Table1[[#This Row],[Rising Through Threshold]],J225&gt;0),J226-J225,"")</f>
        <v/>
      </c>
    </row>
    <row r="227" spans="1:11" x14ac:dyDescent="0.45">
      <c r="A227" s="1" t="s">
        <v>697</v>
      </c>
      <c r="B227" s="1">
        <f t="shared" si="40"/>
        <v>6</v>
      </c>
      <c r="C227" s="1">
        <f t="shared" si="41"/>
        <v>14</v>
      </c>
      <c r="D227" s="1">
        <f t="shared" si="42"/>
        <v>19</v>
      </c>
      <c r="E227" s="1">
        <f t="shared" si="43"/>
        <v>21</v>
      </c>
      <c r="F227" s="3">
        <f t="shared" si="44"/>
        <v>956.25</v>
      </c>
      <c r="G227" s="4">
        <f t="shared" si="45"/>
        <v>2.78</v>
      </c>
      <c r="H227" s="3" t="e">
        <f t="shared" si="46"/>
        <v>#VALUE!</v>
      </c>
      <c r="I227" s="1" t="b">
        <f t="shared" si="39"/>
        <v>1</v>
      </c>
      <c r="J227" s="1">
        <f>IF(Table1[[#This Row],[Rising Through Threshold]],Table1[[#This Row],[Start time]],J226)</f>
        <v>956.25</v>
      </c>
      <c r="K227" s="1">
        <f>IF(AND(Table1[[#This Row],[Rising Through Threshold]],J226&gt;0),J227-J226,"")</f>
        <v>51</v>
      </c>
    </row>
    <row r="228" spans="1:11" x14ac:dyDescent="0.45">
      <c r="A228" s="1" t="s">
        <v>698</v>
      </c>
      <c r="B228" s="1">
        <f t="shared" si="40"/>
        <v>6</v>
      </c>
      <c r="C228" s="1">
        <f t="shared" si="41"/>
        <v>14</v>
      </c>
      <c r="D228" s="1">
        <f t="shared" si="42"/>
        <v>19</v>
      </c>
      <c r="E228" s="1">
        <f t="shared" si="43"/>
        <v>21</v>
      </c>
      <c r="F228" s="3">
        <f t="shared" si="44"/>
        <v>960.5</v>
      </c>
      <c r="G228" s="4">
        <f t="shared" si="45"/>
        <v>3.31</v>
      </c>
      <c r="H228" s="3" t="e">
        <f t="shared" si="46"/>
        <v>#VALUE!</v>
      </c>
      <c r="I228" s="1" t="b">
        <f t="shared" si="39"/>
        <v>0</v>
      </c>
      <c r="J228" s="1">
        <f>IF(Table1[[#This Row],[Rising Through Threshold]],Table1[[#This Row],[Start time]],J227)</f>
        <v>956.25</v>
      </c>
      <c r="K228" s="1" t="str">
        <f>IF(AND(Table1[[#This Row],[Rising Through Threshold]],J227&gt;0),J228-J227,"")</f>
        <v/>
      </c>
    </row>
    <row r="229" spans="1:11" x14ac:dyDescent="0.45">
      <c r="A229" s="1" t="s">
        <v>699</v>
      </c>
      <c r="B229" s="1">
        <f t="shared" si="40"/>
        <v>6</v>
      </c>
      <c r="C229" s="1">
        <f t="shared" si="41"/>
        <v>14</v>
      </c>
      <c r="D229" s="1">
        <f t="shared" si="42"/>
        <v>19</v>
      </c>
      <c r="E229" s="1">
        <f t="shared" si="43"/>
        <v>21</v>
      </c>
      <c r="F229" s="3">
        <f t="shared" si="44"/>
        <v>964.75</v>
      </c>
      <c r="G229" s="4">
        <f t="shared" si="45"/>
        <v>3.82</v>
      </c>
      <c r="H229" s="3" t="e">
        <f t="shared" si="46"/>
        <v>#VALUE!</v>
      </c>
      <c r="I229" s="1" t="b">
        <f t="shared" si="39"/>
        <v>0</v>
      </c>
      <c r="J229" s="1">
        <f>IF(Table1[[#This Row],[Rising Through Threshold]],Table1[[#This Row],[Start time]],J228)</f>
        <v>956.25</v>
      </c>
      <c r="K229" s="1" t="str">
        <f>IF(AND(Table1[[#This Row],[Rising Through Threshold]],J228&gt;0),J229-J228,"")</f>
        <v/>
      </c>
    </row>
    <row r="230" spans="1:11" x14ac:dyDescent="0.45">
      <c r="A230" s="1" t="s">
        <v>700</v>
      </c>
      <c r="B230" s="1">
        <f t="shared" si="40"/>
        <v>6</v>
      </c>
      <c r="C230" s="1">
        <f t="shared" si="41"/>
        <v>12</v>
      </c>
      <c r="D230" s="1">
        <f t="shared" si="42"/>
        <v>17</v>
      </c>
      <c r="E230" s="1">
        <f t="shared" si="43"/>
        <v>19</v>
      </c>
      <c r="F230" s="3">
        <f t="shared" si="44"/>
        <v>969</v>
      </c>
      <c r="G230" s="4">
        <f t="shared" si="45"/>
        <v>4.7300000000000004</v>
      </c>
      <c r="H230" s="3" t="e">
        <f t="shared" si="46"/>
        <v>#VALUE!</v>
      </c>
      <c r="I230" s="1" t="b">
        <f t="shared" si="39"/>
        <v>0</v>
      </c>
      <c r="J230" s="1">
        <f>IF(Table1[[#This Row],[Rising Through Threshold]],Table1[[#This Row],[Start time]],J229)</f>
        <v>956.25</v>
      </c>
      <c r="K230" s="1" t="str">
        <f>IF(AND(Table1[[#This Row],[Rising Through Threshold]],J229&gt;0),J230-J229,"")</f>
        <v/>
      </c>
    </row>
    <row r="231" spans="1:11" x14ac:dyDescent="0.45">
      <c r="A231" s="1" t="s">
        <v>701</v>
      </c>
      <c r="B231" s="1">
        <f t="shared" si="40"/>
        <v>6</v>
      </c>
      <c r="C231" s="1">
        <f t="shared" si="41"/>
        <v>14</v>
      </c>
      <c r="D231" s="1">
        <f t="shared" si="42"/>
        <v>19</v>
      </c>
      <c r="E231" s="1">
        <f t="shared" si="43"/>
        <v>21</v>
      </c>
      <c r="F231" s="3">
        <f t="shared" si="44"/>
        <v>973.25</v>
      </c>
      <c r="G231" s="4">
        <f t="shared" si="45"/>
        <v>4.7300000000000004</v>
      </c>
      <c r="H231" s="3" t="e">
        <f t="shared" si="46"/>
        <v>#VALUE!</v>
      </c>
      <c r="I231" s="1" t="b">
        <f t="shared" si="39"/>
        <v>0</v>
      </c>
      <c r="J231" s="1">
        <f>IF(Table1[[#This Row],[Rising Through Threshold]],Table1[[#This Row],[Start time]],J230)</f>
        <v>956.25</v>
      </c>
      <c r="K231" s="1" t="str">
        <f>IF(AND(Table1[[#This Row],[Rising Through Threshold]],J230&gt;0),J231-J230,"")</f>
        <v/>
      </c>
    </row>
    <row r="232" spans="1:11" x14ac:dyDescent="0.45">
      <c r="A232" s="1" t="s">
        <v>702</v>
      </c>
      <c r="B232" s="1">
        <f t="shared" si="40"/>
        <v>6</v>
      </c>
      <c r="C232" s="1">
        <f t="shared" si="41"/>
        <v>14</v>
      </c>
      <c r="D232" s="1">
        <f t="shared" si="42"/>
        <v>19</v>
      </c>
      <c r="E232" s="1">
        <f t="shared" si="43"/>
        <v>21</v>
      </c>
      <c r="F232" s="3">
        <f t="shared" si="44"/>
        <v>977.5</v>
      </c>
      <c r="G232" s="4">
        <f t="shared" si="45"/>
        <v>3.82</v>
      </c>
      <c r="H232" s="3" t="e">
        <f t="shared" si="46"/>
        <v>#VALUE!</v>
      </c>
      <c r="I232" s="1" t="b">
        <f t="shared" si="39"/>
        <v>0</v>
      </c>
      <c r="J232" s="1">
        <f>IF(Table1[[#This Row],[Rising Through Threshold]],Table1[[#This Row],[Start time]],J231)</f>
        <v>956.25</v>
      </c>
      <c r="K232" s="1" t="str">
        <f>IF(AND(Table1[[#This Row],[Rising Through Threshold]],J231&gt;0),J232-J231,"")</f>
        <v/>
      </c>
    </row>
    <row r="233" spans="1:11" x14ac:dyDescent="0.45">
      <c r="A233" s="1" t="s">
        <v>703</v>
      </c>
      <c r="B233" s="1">
        <f t="shared" si="40"/>
        <v>6</v>
      </c>
      <c r="C233" s="1">
        <f t="shared" si="41"/>
        <v>14</v>
      </c>
      <c r="D233" s="1">
        <f t="shared" si="42"/>
        <v>19</v>
      </c>
      <c r="E233" s="1">
        <f t="shared" si="43"/>
        <v>21</v>
      </c>
      <c r="F233" s="3">
        <f t="shared" si="44"/>
        <v>981.75</v>
      </c>
      <c r="G233" s="4">
        <f t="shared" si="45"/>
        <v>2.88</v>
      </c>
      <c r="H233" s="3" t="e">
        <f t="shared" si="46"/>
        <v>#VALUE!</v>
      </c>
      <c r="I233" s="1" t="b">
        <f t="shared" si="39"/>
        <v>0</v>
      </c>
      <c r="J233" s="1">
        <f>IF(Table1[[#This Row],[Rising Through Threshold]],Table1[[#This Row],[Start time]],J232)</f>
        <v>956.25</v>
      </c>
      <c r="K233" s="1" t="str">
        <f>IF(AND(Table1[[#This Row],[Rising Through Threshold]],J232&gt;0),J233-J232,"")</f>
        <v/>
      </c>
    </row>
    <row r="234" spans="1:11" x14ac:dyDescent="0.45">
      <c r="A234" s="1" t="s">
        <v>704</v>
      </c>
      <c r="B234" s="1">
        <f t="shared" si="40"/>
        <v>6</v>
      </c>
      <c r="C234" s="1">
        <f t="shared" si="41"/>
        <v>12</v>
      </c>
      <c r="D234" s="1">
        <f t="shared" si="42"/>
        <v>17</v>
      </c>
      <c r="E234" s="1">
        <f t="shared" si="43"/>
        <v>19</v>
      </c>
      <c r="F234" s="3">
        <f t="shared" si="44"/>
        <v>986</v>
      </c>
      <c r="G234" s="4">
        <f t="shared" si="45"/>
        <v>1</v>
      </c>
      <c r="H234" s="3" t="e">
        <f t="shared" si="46"/>
        <v>#VALUE!</v>
      </c>
      <c r="I234" s="1" t="b">
        <f t="shared" si="39"/>
        <v>0</v>
      </c>
      <c r="J234" s="1">
        <f>IF(Table1[[#This Row],[Rising Through Threshold]],Table1[[#This Row],[Start time]],J233)</f>
        <v>956.25</v>
      </c>
      <c r="K234" s="1" t="str">
        <f>IF(AND(Table1[[#This Row],[Rising Through Threshold]],J233&gt;0),J234-J233,"")</f>
        <v/>
      </c>
    </row>
    <row r="235" spans="1:11" x14ac:dyDescent="0.45">
      <c r="A235" s="1" t="s">
        <v>705</v>
      </c>
      <c r="B235" s="1">
        <f t="shared" si="40"/>
        <v>6</v>
      </c>
      <c r="C235" s="1">
        <f t="shared" si="41"/>
        <v>14</v>
      </c>
      <c r="D235" s="1">
        <f t="shared" si="42"/>
        <v>19</v>
      </c>
      <c r="E235" s="1">
        <f t="shared" si="43"/>
        <v>21</v>
      </c>
      <c r="F235" s="3">
        <f t="shared" si="44"/>
        <v>990.25</v>
      </c>
      <c r="G235" s="4">
        <f t="shared" si="45"/>
        <v>0.14000000000000001</v>
      </c>
      <c r="H235" s="3" t="e">
        <f t="shared" si="46"/>
        <v>#VALUE!</v>
      </c>
      <c r="I235" s="1" t="b">
        <f t="shared" si="39"/>
        <v>0</v>
      </c>
      <c r="J235" s="1">
        <f>IF(Table1[[#This Row],[Rising Through Threshold]],Table1[[#This Row],[Start time]],J234)</f>
        <v>956.25</v>
      </c>
      <c r="K235" s="1" t="str">
        <f>IF(AND(Table1[[#This Row],[Rising Through Threshold]],J234&gt;0),J235-J234,"")</f>
        <v/>
      </c>
    </row>
    <row r="236" spans="1:11" x14ac:dyDescent="0.45">
      <c r="A236" s="1" t="s">
        <v>478</v>
      </c>
      <c r="B236" s="1">
        <f t="shared" si="40"/>
        <v>6</v>
      </c>
      <c r="C236" s="1">
        <f t="shared" si="41"/>
        <v>14</v>
      </c>
      <c r="D236" s="1">
        <f t="shared" si="42"/>
        <v>19</v>
      </c>
      <c r="E236" s="1">
        <f t="shared" si="43"/>
        <v>21</v>
      </c>
      <c r="F236" s="3">
        <f t="shared" si="44"/>
        <v>994.5</v>
      </c>
      <c r="G236" s="4">
        <f t="shared" si="45"/>
        <v>0</v>
      </c>
      <c r="H236" s="3" t="e">
        <f t="shared" si="46"/>
        <v>#VALUE!</v>
      </c>
      <c r="I236" s="1" t="b">
        <f t="shared" si="39"/>
        <v>0</v>
      </c>
      <c r="J236" s="1">
        <f>IF(Table1[[#This Row],[Rising Through Threshold]],Table1[[#This Row],[Start time]],J235)</f>
        <v>956.25</v>
      </c>
      <c r="K236" s="1" t="str">
        <f>IF(AND(Table1[[#This Row],[Rising Through Threshold]],J235&gt;0),J236-J235,"")</f>
        <v/>
      </c>
    </row>
    <row r="237" spans="1:11" x14ac:dyDescent="0.45">
      <c r="A237" s="1" t="s">
        <v>706</v>
      </c>
      <c r="B237" s="1">
        <f t="shared" si="40"/>
        <v>6</v>
      </c>
      <c r="C237" s="1">
        <f t="shared" si="41"/>
        <v>14</v>
      </c>
      <c r="D237" s="1">
        <f t="shared" si="42"/>
        <v>19</v>
      </c>
      <c r="E237" s="1">
        <f t="shared" si="43"/>
        <v>21</v>
      </c>
      <c r="F237" s="3">
        <f t="shared" si="44"/>
        <v>998.75</v>
      </c>
      <c r="G237" s="4">
        <f t="shared" si="45"/>
        <v>0.55000000000000004</v>
      </c>
      <c r="H237" s="3" t="e">
        <f t="shared" si="46"/>
        <v>#VALUE!</v>
      </c>
      <c r="I237" s="1" t="b">
        <f t="shared" ref="I237:I300" si="47">AND(G236&lt;Threshold,G237&gt;Threshold)</f>
        <v>0</v>
      </c>
      <c r="J237" s="1">
        <f>IF(Table1[[#This Row],[Rising Through Threshold]],Table1[[#This Row],[Start time]],J236)</f>
        <v>956.25</v>
      </c>
      <c r="K237" s="1" t="str">
        <f>IF(AND(Table1[[#This Row],[Rising Through Threshold]],J236&gt;0),J237-J236,"")</f>
        <v/>
      </c>
    </row>
    <row r="238" spans="1:11" x14ac:dyDescent="0.45">
      <c r="A238" s="1" t="s">
        <v>707</v>
      </c>
      <c r="B238" s="1">
        <f t="shared" si="40"/>
        <v>6</v>
      </c>
      <c r="C238" s="1">
        <f t="shared" si="41"/>
        <v>13</v>
      </c>
      <c r="D238" s="1">
        <f t="shared" si="42"/>
        <v>18</v>
      </c>
      <c r="E238" s="1">
        <f t="shared" si="43"/>
        <v>20</v>
      </c>
      <c r="F238" s="3">
        <f t="shared" si="44"/>
        <v>1003</v>
      </c>
      <c r="G238" s="4">
        <f t="shared" si="45"/>
        <v>1.24</v>
      </c>
      <c r="H238" s="3" t="e">
        <f t="shared" si="46"/>
        <v>#VALUE!</v>
      </c>
      <c r="I238" s="1" t="b">
        <f t="shared" si="47"/>
        <v>0</v>
      </c>
      <c r="J238" s="1">
        <f>IF(Table1[[#This Row],[Rising Through Threshold]],Table1[[#This Row],[Start time]],J237)</f>
        <v>956.25</v>
      </c>
      <c r="K238" s="1" t="str">
        <f>IF(AND(Table1[[#This Row],[Rising Through Threshold]],J237&gt;0),J238-J237,"")</f>
        <v/>
      </c>
    </row>
    <row r="239" spans="1:11" x14ac:dyDescent="0.45">
      <c r="A239" s="1" t="s">
        <v>708</v>
      </c>
      <c r="B239" s="1">
        <f t="shared" si="40"/>
        <v>6</v>
      </c>
      <c r="C239" s="1">
        <f t="shared" si="41"/>
        <v>15</v>
      </c>
      <c r="D239" s="1">
        <f t="shared" si="42"/>
        <v>20</v>
      </c>
      <c r="E239" s="1">
        <f t="shared" si="43"/>
        <v>22</v>
      </c>
      <c r="F239" s="3">
        <f t="shared" si="44"/>
        <v>1007.25</v>
      </c>
      <c r="G239" s="4">
        <f t="shared" si="45"/>
        <v>2</v>
      </c>
      <c r="H239" s="3" t="e">
        <f t="shared" si="46"/>
        <v>#VALUE!</v>
      </c>
      <c r="I239" s="1" t="b">
        <f t="shared" si="47"/>
        <v>0</v>
      </c>
      <c r="J239" s="1">
        <f>IF(Table1[[#This Row],[Rising Through Threshold]],Table1[[#This Row],[Start time]],J238)</f>
        <v>956.25</v>
      </c>
      <c r="K239" s="1" t="str">
        <f>IF(AND(Table1[[#This Row],[Rising Through Threshold]],J238&gt;0),J239-J238,"")</f>
        <v/>
      </c>
    </row>
    <row r="240" spans="1:11" x14ac:dyDescent="0.45">
      <c r="A240" s="1" t="s">
        <v>709</v>
      </c>
      <c r="B240" s="1">
        <f t="shared" si="40"/>
        <v>6</v>
      </c>
      <c r="C240" s="1">
        <f t="shared" si="41"/>
        <v>15</v>
      </c>
      <c r="D240" s="1">
        <f t="shared" si="42"/>
        <v>20</v>
      </c>
      <c r="E240" s="1">
        <f t="shared" si="43"/>
        <v>22</v>
      </c>
      <c r="F240" s="3">
        <f t="shared" si="44"/>
        <v>1011.5</v>
      </c>
      <c r="G240" s="4">
        <f t="shared" si="45"/>
        <v>2.73</v>
      </c>
      <c r="H240" s="3" t="e">
        <f t="shared" si="46"/>
        <v>#VALUE!</v>
      </c>
      <c r="I240" s="1" t="b">
        <f t="shared" si="47"/>
        <v>1</v>
      </c>
      <c r="J240" s="1">
        <f>IF(Table1[[#This Row],[Rising Through Threshold]],Table1[[#This Row],[Start time]],J239)</f>
        <v>1011.5</v>
      </c>
      <c r="K240" s="1">
        <f>IF(AND(Table1[[#This Row],[Rising Through Threshold]],J239&gt;0),J240-J239,"")</f>
        <v>55.25</v>
      </c>
    </row>
    <row r="241" spans="1:11" x14ac:dyDescent="0.45">
      <c r="A241" s="1" t="s">
        <v>710</v>
      </c>
      <c r="B241" s="1">
        <f t="shared" si="40"/>
        <v>6</v>
      </c>
      <c r="C241" s="1">
        <f t="shared" si="41"/>
        <v>15</v>
      </c>
      <c r="D241" s="1">
        <f t="shared" si="42"/>
        <v>20</v>
      </c>
      <c r="E241" s="1">
        <f t="shared" si="43"/>
        <v>22</v>
      </c>
      <c r="F241" s="3">
        <f t="shared" si="44"/>
        <v>1015.75</v>
      </c>
      <c r="G241" s="4">
        <f t="shared" si="45"/>
        <v>3.76</v>
      </c>
      <c r="H241" s="3" t="e">
        <f t="shared" si="46"/>
        <v>#VALUE!</v>
      </c>
      <c r="I241" s="1" t="b">
        <f t="shared" si="47"/>
        <v>0</v>
      </c>
      <c r="J241" s="1">
        <f>IF(Table1[[#This Row],[Rising Through Threshold]],Table1[[#This Row],[Start time]],J240)</f>
        <v>1011.5</v>
      </c>
      <c r="K241" s="1" t="str">
        <f>IF(AND(Table1[[#This Row],[Rising Through Threshold]],J240&gt;0),J241-J240,"")</f>
        <v/>
      </c>
    </row>
    <row r="242" spans="1:11" x14ac:dyDescent="0.45">
      <c r="A242" s="1" t="s">
        <v>711</v>
      </c>
      <c r="B242" s="1">
        <f t="shared" si="40"/>
        <v>6</v>
      </c>
      <c r="C242" s="1">
        <f t="shared" si="41"/>
        <v>13</v>
      </c>
      <c r="D242" s="1">
        <f t="shared" si="42"/>
        <v>18</v>
      </c>
      <c r="E242" s="1">
        <f t="shared" si="43"/>
        <v>20</v>
      </c>
      <c r="F242" s="3">
        <f t="shared" si="44"/>
        <v>1020</v>
      </c>
      <c r="G242" s="4">
        <f t="shared" si="45"/>
        <v>4.82</v>
      </c>
      <c r="H242" s="3" t="e">
        <f t="shared" si="46"/>
        <v>#VALUE!</v>
      </c>
      <c r="I242" s="1" t="b">
        <f t="shared" si="47"/>
        <v>0</v>
      </c>
      <c r="J242" s="1">
        <f>IF(Table1[[#This Row],[Rising Through Threshold]],Table1[[#This Row],[Start time]],J241)</f>
        <v>1011.5</v>
      </c>
      <c r="K242" s="1" t="str">
        <f>IF(AND(Table1[[#This Row],[Rising Through Threshold]],J241&gt;0),J242-J241,"")</f>
        <v/>
      </c>
    </row>
    <row r="243" spans="1:11" x14ac:dyDescent="0.45">
      <c r="A243" s="1" t="s">
        <v>712</v>
      </c>
      <c r="B243" s="1">
        <f t="shared" si="40"/>
        <v>6</v>
      </c>
      <c r="C243" s="1">
        <f t="shared" si="41"/>
        <v>15</v>
      </c>
      <c r="D243" s="1">
        <f t="shared" si="42"/>
        <v>20</v>
      </c>
      <c r="E243" s="1">
        <f t="shared" si="43"/>
        <v>22</v>
      </c>
      <c r="F243" s="3">
        <f t="shared" si="44"/>
        <v>1024.25</v>
      </c>
      <c r="G243" s="4">
        <f t="shared" si="45"/>
        <v>3.9</v>
      </c>
      <c r="H243" s="3" t="e">
        <f t="shared" si="46"/>
        <v>#VALUE!</v>
      </c>
      <c r="I243" s="1" t="b">
        <f t="shared" si="47"/>
        <v>0</v>
      </c>
      <c r="J243" s="1">
        <f>IF(Table1[[#This Row],[Rising Through Threshold]],Table1[[#This Row],[Start time]],J242)</f>
        <v>1011.5</v>
      </c>
      <c r="K243" s="1" t="str">
        <f>IF(AND(Table1[[#This Row],[Rising Through Threshold]],J242&gt;0),J243-J242,"")</f>
        <v/>
      </c>
    </row>
    <row r="244" spans="1:11" x14ac:dyDescent="0.45">
      <c r="A244" s="1" t="s">
        <v>713</v>
      </c>
      <c r="B244" s="1">
        <f t="shared" si="40"/>
        <v>6</v>
      </c>
      <c r="C244" s="1">
        <f t="shared" si="41"/>
        <v>15</v>
      </c>
      <c r="D244" s="1">
        <f t="shared" si="42"/>
        <v>20</v>
      </c>
      <c r="E244" s="1">
        <f t="shared" si="43"/>
        <v>22</v>
      </c>
      <c r="F244" s="3">
        <f t="shared" si="44"/>
        <v>1028.5</v>
      </c>
      <c r="G244" s="4">
        <f t="shared" si="45"/>
        <v>2.98</v>
      </c>
      <c r="H244" s="3" t="e">
        <f t="shared" si="46"/>
        <v>#VALUE!</v>
      </c>
      <c r="I244" s="1" t="b">
        <f t="shared" si="47"/>
        <v>0</v>
      </c>
      <c r="J244" s="1">
        <f>IF(Table1[[#This Row],[Rising Through Threshold]],Table1[[#This Row],[Start time]],J243)</f>
        <v>1011.5</v>
      </c>
      <c r="K244" s="1" t="str">
        <f>IF(AND(Table1[[#This Row],[Rising Through Threshold]],J243&gt;0),J244-J243,"")</f>
        <v/>
      </c>
    </row>
    <row r="245" spans="1:11" x14ac:dyDescent="0.45">
      <c r="A245" s="1" t="s">
        <v>714</v>
      </c>
      <c r="B245" s="1">
        <f t="shared" si="40"/>
        <v>6</v>
      </c>
      <c r="C245" s="1">
        <f t="shared" si="41"/>
        <v>15</v>
      </c>
      <c r="D245" s="1">
        <f t="shared" si="42"/>
        <v>20</v>
      </c>
      <c r="E245" s="1">
        <f t="shared" si="43"/>
        <v>22</v>
      </c>
      <c r="F245" s="3">
        <f t="shared" si="44"/>
        <v>1032.75</v>
      </c>
      <c r="G245" s="4">
        <f t="shared" si="45"/>
        <v>1.1000000000000001</v>
      </c>
      <c r="H245" s="3" t="e">
        <f t="shared" si="46"/>
        <v>#VALUE!</v>
      </c>
      <c r="I245" s="1" t="b">
        <f t="shared" si="47"/>
        <v>0</v>
      </c>
      <c r="J245" s="1">
        <f>IF(Table1[[#This Row],[Rising Through Threshold]],Table1[[#This Row],[Start time]],J244)</f>
        <v>1011.5</v>
      </c>
      <c r="K245" s="1" t="str">
        <f>IF(AND(Table1[[#This Row],[Rising Through Threshold]],J244&gt;0),J245-J244,"")</f>
        <v/>
      </c>
    </row>
    <row r="246" spans="1:11" x14ac:dyDescent="0.45">
      <c r="A246" s="1" t="s">
        <v>715</v>
      </c>
      <c r="B246" s="1">
        <f t="shared" si="40"/>
        <v>6</v>
      </c>
      <c r="C246" s="1">
        <f t="shared" si="41"/>
        <v>13</v>
      </c>
      <c r="D246" s="1">
        <f t="shared" si="42"/>
        <v>18</v>
      </c>
      <c r="E246" s="1">
        <f t="shared" si="43"/>
        <v>20</v>
      </c>
      <c r="F246" s="3">
        <f t="shared" si="44"/>
        <v>1037</v>
      </c>
      <c r="G246" s="4">
        <f t="shared" si="45"/>
        <v>0.18</v>
      </c>
      <c r="H246" s="3" t="e">
        <f t="shared" si="46"/>
        <v>#VALUE!</v>
      </c>
      <c r="I246" s="1" t="b">
        <f t="shared" si="47"/>
        <v>0</v>
      </c>
      <c r="J246" s="1">
        <f>IF(Table1[[#This Row],[Rising Through Threshold]],Table1[[#This Row],[Start time]],J245)</f>
        <v>1011.5</v>
      </c>
      <c r="K246" s="1" t="str">
        <f>IF(AND(Table1[[#This Row],[Rising Through Threshold]],J245&gt;0),J246-J245,"")</f>
        <v/>
      </c>
    </row>
    <row r="247" spans="1:11" x14ac:dyDescent="0.45">
      <c r="A247" s="1" t="s">
        <v>716</v>
      </c>
      <c r="B247" s="1">
        <f t="shared" si="40"/>
        <v>6</v>
      </c>
      <c r="C247" s="1">
        <f t="shared" si="41"/>
        <v>15</v>
      </c>
      <c r="D247" s="1">
        <f t="shared" si="42"/>
        <v>20</v>
      </c>
      <c r="E247" s="1">
        <f t="shared" si="43"/>
        <v>22</v>
      </c>
      <c r="F247" s="3">
        <f t="shared" si="44"/>
        <v>1041.25</v>
      </c>
      <c r="G247" s="4">
        <f t="shared" si="45"/>
        <v>0</v>
      </c>
      <c r="H247" s="3" t="e">
        <f t="shared" si="46"/>
        <v>#VALUE!</v>
      </c>
      <c r="I247" s="1" t="b">
        <f t="shared" si="47"/>
        <v>0</v>
      </c>
      <c r="J247" s="1">
        <f>IF(Table1[[#This Row],[Rising Through Threshold]],Table1[[#This Row],[Start time]],J246)</f>
        <v>1011.5</v>
      </c>
      <c r="K247" s="1" t="str">
        <f>IF(AND(Table1[[#This Row],[Rising Through Threshold]],J246&gt;0),J247-J246,"")</f>
        <v/>
      </c>
    </row>
    <row r="248" spans="1:11" x14ac:dyDescent="0.45">
      <c r="A248" s="1" t="s">
        <v>717</v>
      </c>
      <c r="B248" s="1">
        <f t="shared" si="40"/>
        <v>6</v>
      </c>
      <c r="C248" s="1">
        <f t="shared" si="41"/>
        <v>15</v>
      </c>
      <c r="D248" s="1">
        <f t="shared" si="42"/>
        <v>20</v>
      </c>
      <c r="E248" s="1">
        <f t="shared" si="43"/>
        <v>22</v>
      </c>
      <c r="F248" s="3">
        <f t="shared" si="44"/>
        <v>1045.5</v>
      </c>
      <c r="G248" s="4">
        <f t="shared" si="45"/>
        <v>0.49</v>
      </c>
      <c r="H248" s="3" t="e">
        <f t="shared" si="46"/>
        <v>#VALUE!</v>
      </c>
      <c r="I248" s="1" t="b">
        <f t="shared" si="47"/>
        <v>0</v>
      </c>
      <c r="J248" s="1">
        <f>IF(Table1[[#This Row],[Rising Through Threshold]],Table1[[#This Row],[Start time]],J247)</f>
        <v>1011.5</v>
      </c>
      <c r="K248" s="1" t="str">
        <f>IF(AND(Table1[[#This Row],[Rising Through Threshold]],J247&gt;0),J248-J247,"")</f>
        <v/>
      </c>
    </row>
    <row r="249" spans="1:11" x14ac:dyDescent="0.45">
      <c r="A249" s="1" t="s">
        <v>718</v>
      </c>
      <c r="B249" s="1">
        <f t="shared" ref="B249:B312" si="48">FIND(":",$A249,1)</f>
        <v>6</v>
      </c>
      <c r="C249" s="1">
        <f t="shared" ref="C249:C312" si="49">FIND(":",$A249,B249+1)</f>
        <v>15</v>
      </c>
      <c r="D249" s="1">
        <f t="shared" ref="D249:D312" si="50">FIND(":",$A249,C249+1)</f>
        <v>20</v>
      </c>
      <c r="E249" s="1">
        <f t="shared" ref="E249:E312" si="51">FIND(":",$A249,D249+1)</f>
        <v>22</v>
      </c>
      <c r="F249" s="3">
        <f t="shared" ref="F249:F312" si="52">_xlfn.NUMBERVALUE(MID($A249,B249+1,C249-B249-1))</f>
        <v>1049.75</v>
      </c>
      <c r="G249" s="4">
        <f t="shared" ref="G249:G312" si="53">_xlfn.NUMBERVALUE(MID($A249,C249+1,D249-C249-1))</f>
        <v>1.18</v>
      </c>
      <c r="H249" s="3" t="e">
        <f t="shared" ref="H249:H312" si="54">_xlfn.NUMBERVALUE(MID($A249,E249+1,1000))</f>
        <v>#VALUE!</v>
      </c>
      <c r="I249" s="1" t="b">
        <f t="shared" si="47"/>
        <v>0</v>
      </c>
      <c r="J249" s="1">
        <f>IF(Table1[[#This Row],[Rising Through Threshold]],Table1[[#This Row],[Start time]],J248)</f>
        <v>1011.5</v>
      </c>
      <c r="K249" s="1" t="str">
        <f>IF(AND(Table1[[#This Row],[Rising Through Threshold]],J248&gt;0),J249-J248,"")</f>
        <v/>
      </c>
    </row>
    <row r="250" spans="1:11" x14ac:dyDescent="0.45">
      <c r="A250" s="1" t="s">
        <v>719</v>
      </c>
      <c r="B250" s="1">
        <f t="shared" si="48"/>
        <v>6</v>
      </c>
      <c r="C250" s="1">
        <f t="shared" si="49"/>
        <v>13</v>
      </c>
      <c r="D250" s="1">
        <f t="shared" si="50"/>
        <v>18</v>
      </c>
      <c r="E250" s="1">
        <f t="shared" si="51"/>
        <v>20</v>
      </c>
      <c r="F250" s="3">
        <f t="shared" si="52"/>
        <v>1054</v>
      </c>
      <c r="G250" s="4">
        <f t="shared" si="53"/>
        <v>1.9</v>
      </c>
      <c r="H250" s="3" t="e">
        <f t="shared" si="54"/>
        <v>#VALUE!</v>
      </c>
      <c r="I250" s="1" t="b">
        <f t="shared" si="47"/>
        <v>0</v>
      </c>
      <c r="J250" s="1">
        <f>IF(Table1[[#This Row],[Rising Through Threshold]],Table1[[#This Row],[Start time]],J249)</f>
        <v>1011.5</v>
      </c>
      <c r="K250" s="1" t="str">
        <f>IF(AND(Table1[[#This Row],[Rising Through Threshold]],J249&gt;0),J250-J249,"")</f>
        <v/>
      </c>
    </row>
    <row r="251" spans="1:11" x14ac:dyDescent="0.45">
      <c r="A251" s="1" t="s">
        <v>720</v>
      </c>
      <c r="B251" s="1">
        <f t="shared" si="48"/>
        <v>6</v>
      </c>
      <c r="C251" s="1">
        <f t="shared" si="49"/>
        <v>15</v>
      </c>
      <c r="D251" s="1">
        <f t="shared" si="50"/>
        <v>20</v>
      </c>
      <c r="E251" s="1">
        <f t="shared" si="51"/>
        <v>22</v>
      </c>
      <c r="F251" s="3">
        <f t="shared" si="52"/>
        <v>1058.25</v>
      </c>
      <c r="G251" s="4">
        <f t="shared" si="53"/>
        <v>3.27</v>
      </c>
      <c r="H251" s="3" t="e">
        <f t="shared" si="54"/>
        <v>#VALUE!</v>
      </c>
      <c r="I251" s="1" t="b">
        <f t="shared" si="47"/>
        <v>1</v>
      </c>
      <c r="J251" s="1">
        <f>IF(Table1[[#This Row],[Rising Through Threshold]],Table1[[#This Row],[Start time]],J250)</f>
        <v>1058.25</v>
      </c>
      <c r="K251" s="1">
        <f>IF(AND(Table1[[#This Row],[Rising Through Threshold]],J250&gt;0),J251-J250,"")</f>
        <v>46.75</v>
      </c>
    </row>
    <row r="252" spans="1:11" x14ac:dyDescent="0.45">
      <c r="A252" s="1" t="s">
        <v>479</v>
      </c>
      <c r="B252" s="1">
        <f t="shared" si="48"/>
        <v>6</v>
      </c>
      <c r="C252" s="1">
        <f t="shared" si="49"/>
        <v>15</v>
      </c>
      <c r="D252" s="1">
        <f t="shared" si="50"/>
        <v>20</v>
      </c>
      <c r="E252" s="1">
        <f t="shared" si="51"/>
        <v>22</v>
      </c>
      <c r="F252" s="3">
        <f t="shared" si="52"/>
        <v>1062.5</v>
      </c>
      <c r="G252" s="4">
        <f t="shared" si="53"/>
        <v>3.76</v>
      </c>
      <c r="H252" s="3" t="e">
        <f t="shared" si="54"/>
        <v>#VALUE!</v>
      </c>
      <c r="I252" s="1" t="b">
        <f t="shared" si="47"/>
        <v>0</v>
      </c>
      <c r="J252" s="1">
        <f>IF(Table1[[#This Row],[Rising Through Threshold]],Table1[[#This Row],[Start time]],J251)</f>
        <v>1058.25</v>
      </c>
      <c r="K252" s="1" t="str">
        <f>IF(AND(Table1[[#This Row],[Rising Through Threshold]],J251&gt;0),J252-J251,"")</f>
        <v/>
      </c>
    </row>
    <row r="253" spans="1:11" x14ac:dyDescent="0.45">
      <c r="A253" s="1" t="s">
        <v>721</v>
      </c>
      <c r="B253" s="1">
        <f t="shared" si="48"/>
        <v>6</v>
      </c>
      <c r="C253" s="1">
        <f t="shared" si="49"/>
        <v>15</v>
      </c>
      <c r="D253" s="1">
        <f t="shared" si="50"/>
        <v>20</v>
      </c>
      <c r="E253" s="1">
        <f t="shared" si="51"/>
        <v>22</v>
      </c>
      <c r="F253" s="3">
        <f t="shared" si="52"/>
        <v>1066.75</v>
      </c>
      <c r="G253" s="4">
        <f t="shared" si="53"/>
        <v>4.67</v>
      </c>
      <c r="H253" s="3" t="e">
        <f t="shared" si="54"/>
        <v>#VALUE!</v>
      </c>
      <c r="I253" s="1" t="b">
        <f t="shared" si="47"/>
        <v>0</v>
      </c>
      <c r="J253" s="1">
        <f>IF(Table1[[#This Row],[Rising Through Threshold]],Table1[[#This Row],[Start time]],J252)</f>
        <v>1058.25</v>
      </c>
      <c r="K253" s="1" t="str">
        <f>IF(AND(Table1[[#This Row],[Rising Through Threshold]],J252&gt;0),J253-J252,"")</f>
        <v/>
      </c>
    </row>
    <row r="254" spans="1:11" x14ac:dyDescent="0.45">
      <c r="A254" s="1" t="s">
        <v>722</v>
      </c>
      <c r="B254" s="1">
        <f t="shared" si="48"/>
        <v>6</v>
      </c>
      <c r="C254" s="1">
        <f t="shared" si="49"/>
        <v>13</v>
      </c>
      <c r="D254" s="1">
        <f t="shared" si="50"/>
        <v>18</v>
      </c>
      <c r="E254" s="1">
        <f t="shared" si="51"/>
        <v>20</v>
      </c>
      <c r="F254" s="3">
        <f t="shared" si="52"/>
        <v>1071</v>
      </c>
      <c r="G254" s="4">
        <f t="shared" si="53"/>
        <v>5</v>
      </c>
      <c r="H254" s="3" t="e">
        <f t="shared" si="54"/>
        <v>#VALUE!</v>
      </c>
      <c r="I254" s="1" t="b">
        <f t="shared" si="47"/>
        <v>0</v>
      </c>
      <c r="J254" s="1">
        <f>IF(Table1[[#This Row],[Rising Through Threshold]],Table1[[#This Row],[Start time]],J253)</f>
        <v>1058.25</v>
      </c>
      <c r="K254" s="1" t="str">
        <f>IF(AND(Table1[[#This Row],[Rising Through Threshold]],J253&gt;0),J254-J253,"")</f>
        <v/>
      </c>
    </row>
    <row r="255" spans="1:11" x14ac:dyDescent="0.45">
      <c r="A255" s="1" t="s">
        <v>723</v>
      </c>
      <c r="B255" s="1">
        <f t="shared" si="48"/>
        <v>6</v>
      </c>
      <c r="C255" s="1">
        <f t="shared" si="49"/>
        <v>15</v>
      </c>
      <c r="D255" s="1">
        <f t="shared" si="50"/>
        <v>20</v>
      </c>
      <c r="E255" s="1">
        <f t="shared" si="51"/>
        <v>22</v>
      </c>
      <c r="F255" s="3">
        <f t="shared" si="52"/>
        <v>1075.25</v>
      </c>
      <c r="G255" s="4">
        <f t="shared" si="53"/>
        <v>3.94</v>
      </c>
      <c r="H255" s="3" t="e">
        <f t="shared" si="54"/>
        <v>#VALUE!</v>
      </c>
      <c r="I255" s="1" t="b">
        <f t="shared" si="47"/>
        <v>0</v>
      </c>
      <c r="J255" s="1">
        <f>IF(Table1[[#This Row],[Rising Through Threshold]],Table1[[#This Row],[Start time]],J254)</f>
        <v>1058.25</v>
      </c>
      <c r="K255" s="1" t="str">
        <f>IF(AND(Table1[[#This Row],[Rising Through Threshold]],J254&gt;0),J255-J254,"")</f>
        <v/>
      </c>
    </row>
    <row r="256" spans="1:11" x14ac:dyDescent="0.45">
      <c r="A256" s="1" t="s">
        <v>724</v>
      </c>
      <c r="B256" s="1">
        <f t="shared" si="48"/>
        <v>6</v>
      </c>
      <c r="C256" s="1">
        <f t="shared" si="49"/>
        <v>15</v>
      </c>
      <c r="D256" s="1">
        <f t="shared" si="50"/>
        <v>20</v>
      </c>
      <c r="E256" s="1">
        <f t="shared" si="51"/>
        <v>22</v>
      </c>
      <c r="F256" s="3">
        <f t="shared" si="52"/>
        <v>1079.5</v>
      </c>
      <c r="G256" s="4">
        <f t="shared" si="53"/>
        <v>3</v>
      </c>
      <c r="H256" s="3" t="e">
        <f t="shared" si="54"/>
        <v>#VALUE!</v>
      </c>
      <c r="I256" s="1" t="b">
        <f t="shared" si="47"/>
        <v>0</v>
      </c>
      <c r="J256" s="1">
        <f>IF(Table1[[#This Row],[Rising Through Threshold]],Table1[[#This Row],[Start time]],J255)</f>
        <v>1058.25</v>
      </c>
      <c r="K256" s="1" t="str">
        <f>IF(AND(Table1[[#This Row],[Rising Through Threshold]],J255&gt;0),J256-J255,"")</f>
        <v/>
      </c>
    </row>
    <row r="257" spans="1:11" x14ac:dyDescent="0.45">
      <c r="A257" s="1" t="s">
        <v>725</v>
      </c>
      <c r="B257" s="1">
        <f t="shared" si="48"/>
        <v>6</v>
      </c>
      <c r="C257" s="1">
        <f t="shared" si="49"/>
        <v>15</v>
      </c>
      <c r="D257" s="1">
        <f t="shared" si="50"/>
        <v>20</v>
      </c>
      <c r="E257" s="1">
        <f t="shared" si="51"/>
        <v>22</v>
      </c>
      <c r="F257" s="3">
        <f t="shared" si="52"/>
        <v>1083.75</v>
      </c>
      <c r="G257" s="4">
        <f t="shared" si="53"/>
        <v>2.06</v>
      </c>
      <c r="H257" s="3" t="e">
        <f t="shared" si="54"/>
        <v>#VALUE!</v>
      </c>
      <c r="I257" s="1" t="b">
        <f t="shared" si="47"/>
        <v>0</v>
      </c>
      <c r="J257" s="1">
        <f>IF(Table1[[#This Row],[Rising Through Threshold]],Table1[[#This Row],[Start time]],J256)</f>
        <v>1058.25</v>
      </c>
      <c r="K257" s="1" t="str">
        <f>IF(AND(Table1[[#This Row],[Rising Through Threshold]],J256&gt;0),J257-J256,"")</f>
        <v/>
      </c>
    </row>
    <row r="258" spans="1:11" x14ac:dyDescent="0.45">
      <c r="A258" s="1" t="s">
        <v>726</v>
      </c>
      <c r="B258" s="1">
        <f t="shared" si="48"/>
        <v>6</v>
      </c>
      <c r="C258" s="1">
        <f t="shared" si="49"/>
        <v>13</v>
      </c>
      <c r="D258" s="1">
        <f t="shared" si="50"/>
        <v>18</v>
      </c>
      <c r="E258" s="1">
        <f t="shared" si="51"/>
        <v>20</v>
      </c>
      <c r="F258" s="3">
        <f t="shared" si="52"/>
        <v>1088</v>
      </c>
      <c r="G258" s="4">
        <f t="shared" si="53"/>
        <v>0.24</v>
      </c>
      <c r="H258" s="3" t="e">
        <f t="shared" si="54"/>
        <v>#VALUE!</v>
      </c>
      <c r="I258" s="1" t="b">
        <f t="shared" si="47"/>
        <v>0</v>
      </c>
      <c r="J258" s="1">
        <f>IF(Table1[[#This Row],[Rising Through Threshold]],Table1[[#This Row],[Start time]],J257)</f>
        <v>1058.25</v>
      </c>
      <c r="K258" s="1" t="str">
        <f>IF(AND(Table1[[#This Row],[Rising Through Threshold]],J257&gt;0),J258-J257,"")</f>
        <v/>
      </c>
    </row>
    <row r="259" spans="1:11" x14ac:dyDescent="0.45">
      <c r="A259" s="1" t="s">
        <v>727</v>
      </c>
      <c r="B259" s="1">
        <f t="shared" si="48"/>
        <v>6</v>
      </c>
      <c r="C259" s="1">
        <f t="shared" si="49"/>
        <v>15</v>
      </c>
      <c r="D259" s="1">
        <f t="shared" si="50"/>
        <v>20</v>
      </c>
      <c r="E259" s="1">
        <f t="shared" si="51"/>
        <v>22</v>
      </c>
      <c r="F259" s="3">
        <f t="shared" si="52"/>
        <v>1092.25</v>
      </c>
      <c r="G259" s="4">
        <f t="shared" si="53"/>
        <v>0</v>
      </c>
      <c r="H259" s="3" t="e">
        <f t="shared" si="54"/>
        <v>#VALUE!</v>
      </c>
      <c r="I259" s="1" t="b">
        <f t="shared" si="47"/>
        <v>0</v>
      </c>
      <c r="J259" s="1">
        <f>IF(Table1[[#This Row],[Rising Through Threshold]],Table1[[#This Row],[Start time]],J258)</f>
        <v>1058.25</v>
      </c>
      <c r="K259" s="1" t="str">
        <f>IF(AND(Table1[[#This Row],[Rising Through Threshold]],J258&gt;0),J259-J258,"")</f>
        <v/>
      </c>
    </row>
    <row r="260" spans="1:11" x14ac:dyDescent="0.45">
      <c r="A260" s="1" t="s">
        <v>728</v>
      </c>
      <c r="B260" s="1">
        <f t="shared" si="48"/>
        <v>6</v>
      </c>
      <c r="C260" s="1">
        <f t="shared" si="49"/>
        <v>15</v>
      </c>
      <c r="D260" s="1">
        <f t="shared" si="50"/>
        <v>20</v>
      </c>
      <c r="E260" s="1">
        <f t="shared" si="51"/>
        <v>22</v>
      </c>
      <c r="F260" s="3">
        <f t="shared" si="52"/>
        <v>1096.5</v>
      </c>
      <c r="G260" s="4">
        <f t="shared" si="53"/>
        <v>0</v>
      </c>
      <c r="H260" s="3" t="e">
        <f t="shared" si="54"/>
        <v>#VALUE!</v>
      </c>
      <c r="I260" s="1" t="b">
        <f t="shared" si="47"/>
        <v>0</v>
      </c>
      <c r="J260" s="1">
        <f>IF(Table1[[#This Row],[Rising Through Threshold]],Table1[[#This Row],[Start time]],J259)</f>
        <v>1058.25</v>
      </c>
      <c r="K260" s="1" t="str">
        <f>IF(AND(Table1[[#This Row],[Rising Through Threshold]],J259&gt;0),J260-J259,"")</f>
        <v/>
      </c>
    </row>
    <row r="261" spans="1:11" x14ac:dyDescent="0.45">
      <c r="A261" s="1" t="s">
        <v>729</v>
      </c>
      <c r="B261" s="1">
        <f t="shared" si="48"/>
        <v>6</v>
      </c>
      <c r="C261" s="1">
        <f t="shared" si="49"/>
        <v>15</v>
      </c>
      <c r="D261" s="1">
        <f t="shared" si="50"/>
        <v>20</v>
      </c>
      <c r="E261" s="1">
        <f t="shared" si="51"/>
        <v>22</v>
      </c>
      <c r="F261" s="3">
        <f t="shared" si="52"/>
        <v>1100.75</v>
      </c>
      <c r="G261" s="4">
        <f t="shared" si="53"/>
        <v>0.47</v>
      </c>
      <c r="H261" s="3" t="e">
        <f t="shared" si="54"/>
        <v>#VALUE!</v>
      </c>
      <c r="I261" s="1" t="b">
        <f t="shared" si="47"/>
        <v>0</v>
      </c>
      <c r="J261" s="1">
        <f>IF(Table1[[#This Row],[Rising Through Threshold]],Table1[[#This Row],[Start time]],J260)</f>
        <v>1058.25</v>
      </c>
      <c r="K261" s="1" t="str">
        <f>IF(AND(Table1[[#This Row],[Rising Through Threshold]],J260&gt;0),J261-J260,"")</f>
        <v/>
      </c>
    </row>
    <row r="262" spans="1:11" x14ac:dyDescent="0.45">
      <c r="A262" s="1" t="s">
        <v>730</v>
      </c>
      <c r="B262" s="1">
        <f t="shared" si="48"/>
        <v>6</v>
      </c>
      <c r="C262" s="1">
        <f t="shared" si="49"/>
        <v>13</v>
      </c>
      <c r="D262" s="1">
        <f t="shared" si="50"/>
        <v>18</v>
      </c>
      <c r="E262" s="1">
        <f t="shared" si="51"/>
        <v>20</v>
      </c>
      <c r="F262" s="3">
        <f t="shared" si="52"/>
        <v>1105</v>
      </c>
      <c r="G262" s="4">
        <f t="shared" si="53"/>
        <v>1.88</v>
      </c>
      <c r="H262" s="3" t="e">
        <f t="shared" si="54"/>
        <v>#VALUE!</v>
      </c>
      <c r="I262" s="1" t="b">
        <f t="shared" si="47"/>
        <v>0</v>
      </c>
      <c r="J262" s="1">
        <f>IF(Table1[[#This Row],[Rising Through Threshold]],Table1[[#This Row],[Start time]],J261)</f>
        <v>1058.25</v>
      </c>
      <c r="K262" s="1" t="str">
        <f>IF(AND(Table1[[#This Row],[Rising Through Threshold]],J261&gt;0),J262-J261,"")</f>
        <v/>
      </c>
    </row>
    <row r="263" spans="1:11" x14ac:dyDescent="0.45">
      <c r="A263" s="1" t="s">
        <v>731</v>
      </c>
      <c r="B263" s="1">
        <f t="shared" si="48"/>
        <v>6</v>
      </c>
      <c r="C263" s="1">
        <f t="shared" si="49"/>
        <v>15</v>
      </c>
      <c r="D263" s="1">
        <f t="shared" si="50"/>
        <v>20</v>
      </c>
      <c r="E263" s="1">
        <f t="shared" si="51"/>
        <v>22</v>
      </c>
      <c r="F263" s="3">
        <f t="shared" si="52"/>
        <v>1109.25</v>
      </c>
      <c r="G263" s="4">
        <f t="shared" si="53"/>
        <v>2.63</v>
      </c>
      <c r="H263" s="3" t="e">
        <f t="shared" si="54"/>
        <v>#VALUE!</v>
      </c>
      <c r="I263" s="1" t="b">
        <f t="shared" si="47"/>
        <v>1</v>
      </c>
      <c r="J263" s="1">
        <f>IF(Table1[[#This Row],[Rising Through Threshold]],Table1[[#This Row],[Start time]],J262)</f>
        <v>1109.25</v>
      </c>
      <c r="K263" s="1">
        <f>IF(AND(Table1[[#This Row],[Rising Through Threshold]],J262&gt;0),J263-J262,"")</f>
        <v>51</v>
      </c>
    </row>
    <row r="264" spans="1:11" x14ac:dyDescent="0.45">
      <c r="A264" s="1" t="s">
        <v>732</v>
      </c>
      <c r="B264" s="1">
        <f t="shared" si="48"/>
        <v>6</v>
      </c>
      <c r="C264" s="1">
        <f t="shared" si="49"/>
        <v>15</v>
      </c>
      <c r="D264" s="1">
        <f t="shared" si="50"/>
        <v>20</v>
      </c>
      <c r="E264" s="1">
        <f t="shared" si="51"/>
        <v>22</v>
      </c>
      <c r="F264" s="3">
        <f t="shared" si="52"/>
        <v>1113.5</v>
      </c>
      <c r="G264" s="4">
        <f t="shared" si="53"/>
        <v>3.25</v>
      </c>
      <c r="H264" s="3" t="e">
        <f t="shared" si="54"/>
        <v>#VALUE!</v>
      </c>
      <c r="I264" s="1" t="b">
        <f t="shared" si="47"/>
        <v>0</v>
      </c>
      <c r="J264" s="1">
        <f>IF(Table1[[#This Row],[Rising Through Threshold]],Table1[[#This Row],[Start time]],J263)</f>
        <v>1109.25</v>
      </c>
      <c r="K264" s="1" t="str">
        <f>IF(AND(Table1[[#This Row],[Rising Through Threshold]],J263&gt;0),J264-J263,"")</f>
        <v/>
      </c>
    </row>
    <row r="265" spans="1:11" x14ac:dyDescent="0.45">
      <c r="A265" s="1" t="s">
        <v>733</v>
      </c>
      <c r="B265" s="1">
        <f t="shared" si="48"/>
        <v>6</v>
      </c>
      <c r="C265" s="1">
        <f t="shared" si="49"/>
        <v>15</v>
      </c>
      <c r="D265" s="1">
        <f t="shared" si="50"/>
        <v>20</v>
      </c>
      <c r="E265" s="1">
        <f t="shared" si="51"/>
        <v>22</v>
      </c>
      <c r="F265" s="3">
        <f t="shared" si="52"/>
        <v>1117.75</v>
      </c>
      <c r="G265" s="4">
        <f t="shared" si="53"/>
        <v>4.63</v>
      </c>
      <c r="H265" s="3" t="e">
        <f t="shared" si="54"/>
        <v>#VALUE!</v>
      </c>
      <c r="I265" s="1" t="b">
        <f t="shared" si="47"/>
        <v>0</v>
      </c>
      <c r="J265" s="1">
        <f>IF(Table1[[#This Row],[Rising Through Threshold]],Table1[[#This Row],[Start time]],J264)</f>
        <v>1109.25</v>
      </c>
      <c r="K265" s="1" t="str">
        <f>IF(AND(Table1[[#This Row],[Rising Through Threshold]],J264&gt;0),J265-J264,"")</f>
        <v/>
      </c>
    </row>
    <row r="266" spans="1:11" x14ac:dyDescent="0.45">
      <c r="A266" s="1" t="s">
        <v>734</v>
      </c>
      <c r="B266" s="1">
        <f t="shared" si="48"/>
        <v>6</v>
      </c>
      <c r="C266" s="1">
        <f t="shared" si="49"/>
        <v>13</v>
      </c>
      <c r="D266" s="1">
        <f t="shared" si="50"/>
        <v>18</v>
      </c>
      <c r="E266" s="1">
        <f t="shared" si="51"/>
        <v>20</v>
      </c>
      <c r="F266" s="3">
        <f t="shared" si="52"/>
        <v>1122</v>
      </c>
      <c r="G266" s="4">
        <f t="shared" si="53"/>
        <v>5</v>
      </c>
      <c r="H266" s="3" t="e">
        <f t="shared" si="54"/>
        <v>#VALUE!</v>
      </c>
      <c r="I266" s="1" t="b">
        <f t="shared" si="47"/>
        <v>0</v>
      </c>
      <c r="J266" s="1">
        <f>IF(Table1[[#This Row],[Rising Through Threshold]],Table1[[#This Row],[Start time]],J265)</f>
        <v>1109.25</v>
      </c>
      <c r="K266" s="1" t="str">
        <f>IF(AND(Table1[[#This Row],[Rising Through Threshold]],J265&gt;0),J266-J265,"")</f>
        <v/>
      </c>
    </row>
    <row r="267" spans="1:11" x14ac:dyDescent="0.45">
      <c r="A267" s="1" t="s">
        <v>735</v>
      </c>
      <c r="B267" s="1">
        <f t="shared" si="48"/>
        <v>6</v>
      </c>
      <c r="C267" s="1">
        <f t="shared" si="49"/>
        <v>15</v>
      </c>
      <c r="D267" s="1">
        <f t="shared" si="50"/>
        <v>20</v>
      </c>
      <c r="E267" s="1">
        <f t="shared" si="51"/>
        <v>22</v>
      </c>
      <c r="F267" s="3">
        <f t="shared" si="52"/>
        <v>1126.25</v>
      </c>
      <c r="G267" s="4">
        <f t="shared" si="53"/>
        <v>4.88</v>
      </c>
      <c r="H267" s="3" t="e">
        <f t="shared" si="54"/>
        <v>#VALUE!</v>
      </c>
      <c r="I267" s="1" t="b">
        <f t="shared" si="47"/>
        <v>0</v>
      </c>
      <c r="J267" s="1">
        <f>IF(Table1[[#This Row],[Rising Through Threshold]],Table1[[#This Row],[Start time]],J266)</f>
        <v>1109.25</v>
      </c>
      <c r="K267" s="1" t="str">
        <f>IF(AND(Table1[[#This Row],[Rising Through Threshold]],J266&gt;0),J267-J266,"")</f>
        <v/>
      </c>
    </row>
    <row r="268" spans="1:11" x14ac:dyDescent="0.45">
      <c r="A268" s="1" t="s">
        <v>736</v>
      </c>
      <c r="B268" s="1">
        <f t="shared" si="48"/>
        <v>6</v>
      </c>
      <c r="C268" s="1">
        <f t="shared" si="49"/>
        <v>15</v>
      </c>
      <c r="D268" s="1">
        <f t="shared" si="50"/>
        <v>20</v>
      </c>
      <c r="E268" s="1">
        <f t="shared" si="51"/>
        <v>22</v>
      </c>
      <c r="F268" s="3">
        <f t="shared" si="52"/>
        <v>1130.5</v>
      </c>
      <c r="G268" s="4">
        <f t="shared" si="53"/>
        <v>3.1</v>
      </c>
      <c r="H268" s="3" t="e">
        <f t="shared" si="54"/>
        <v>#VALUE!</v>
      </c>
      <c r="I268" s="1" t="b">
        <f t="shared" si="47"/>
        <v>0</v>
      </c>
      <c r="J268" s="1">
        <f>IF(Table1[[#This Row],[Rising Through Threshold]],Table1[[#This Row],[Start time]],J267)</f>
        <v>1109.25</v>
      </c>
      <c r="K268" s="1" t="str">
        <f>IF(AND(Table1[[#This Row],[Rising Through Threshold]],J267&gt;0),J268-J267,"")</f>
        <v/>
      </c>
    </row>
    <row r="269" spans="1:11" x14ac:dyDescent="0.45">
      <c r="A269" s="1" t="s">
        <v>737</v>
      </c>
      <c r="B269" s="1">
        <f t="shared" si="48"/>
        <v>6</v>
      </c>
      <c r="C269" s="1">
        <f t="shared" si="49"/>
        <v>15</v>
      </c>
      <c r="D269" s="1">
        <f t="shared" si="50"/>
        <v>20</v>
      </c>
      <c r="E269" s="1">
        <f t="shared" si="51"/>
        <v>22</v>
      </c>
      <c r="F269" s="3">
        <f t="shared" si="52"/>
        <v>1134.75</v>
      </c>
      <c r="G269" s="4">
        <f t="shared" si="53"/>
        <v>2.2000000000000002</v>
      </c>
      <c r="H269" s="3" t="e">
        <f t="shared" si="54"/>
        <v>#VALUE!</v>
      </c>
      <c r="I269" s="1" t="b">
        <f t="shared" si="47"/>
        <v>0</v>
      </c>
      <c r="J269" s="1">
        <f>IF(Table1[[#This Row],[Rising Through Threshold]],Table1[[#This Row],[Start time]],J268)</f>
        <v>1109.25</v>
      </c>
      <c r="K269" s="1" t="str">
        <f>IF(AND(Table1[[#This Row],[Rising Through Threshold]],J268&gt;0),J269-J268,"")</f>
        <v/>
      </c>
    </row>
    <row r="270" spans="1:11" x14ac:dyDescent="0.45">
      <c r="A270" s="1" t="s">
        <v>738</v>
      </c>
      <c r="B270" s="1">
        <f t="shared" si="48"/>
        <v>6</v>
      </c>
      <c r="C270" s="1">
        <f t="shared" si="49"/>
        <v>13</v>
      </c>
      <c r="D270" s="1">
        <f t="shared" si="50"/>
        <v>18</v>
      </c>
      <c r="E270" s="1">
        <f t="shared" si="51"/>
        <v>20</v>
      </c>
      <c r="F270" s="3">
        <f t="shared" si="52"/>
        <v>1139</v>
      </c>
      <c r="G270" s="4">
        <f t="shared" si="53"/>
        <v>1.24</v>
      </c>
      <c r="H270" s="3" t="e">
        <f t="shared" si="54"/>
        <v>#VALUE!</v>
      </c>
      <c r="I270" s="1" t="b">
        <f t="shared" si="47"/>
        <v>0</v>
      </c>
      <c r="J270" s="1">
        <f>IF(Table1[[#This Row],[Rising Through Threshold]],Table1[[#This Row],[Start time]],J269)</f>
        <v>1109.25</v>
      </c>
      <c r="K270" s="1" t="str">
        <f>IF(AND(Table1[[#This Row],[Rising Through Threshold]],J269&gt;0),J270-J269,"")</f>
        <v/>
      </c>
    </row>
    <row r="271" spans="1:11" x14ac:dyDescent="0.45">
      <c r="A271" s="1" t="s">
        <v>739</v>
      </c>
      <c r="B271" s="1">
        <f t="shared" si="48"/>
        <v>6</v>
      </c>
      <c r="C271" s="1">
        <f t="shared" si="49"/>
        <v>15</v>
      </c>
      <c r="D271" s="1">
        <f t="shared" si="50"/>
        <v>20</v>
      </c>
      <c r="E271" s="1">
        <f t="shared" si="51"/>
        <v>22</v>
      </c>
      <c r="F271" s="3">
        <f t="shared" si="52"/>
        <v>1143.25</v>
      </c>
      <c r="G271" s="4">
        <f t="shared" si="53"/>
        <v>0.28999999999999998</v>
      </c>
      <c r="H271" s="3" t="e">
        <f t="shared" si="54"/>
        <v>#VALUE!</v>
      </c>
      <c r="I271" s="1" t="b">
        <f t="shared" si="47"/>
        <v>0</v>
      </c>
      <c r="J271" s="1">
        <f>IF(Table1[[#This Row],[Rising Through Threshold]],Table1[[#This Row],[Start time]],J270)</f>
        <v>1109.25</v>
      </c>
      <c r="K271" s="1" t="str">
        <f>IF(AND(Table1[[#This Row],[Rising Through Threshold]],J270&gt;0),J271-J270,"")</f>
        <v/>
      </c>
    </row>
    <row r="272" spans="1:11" x14ac:dyDescent="0.45">
      <c r="A272" s="1" t="s">
        <v>740</v>
      </c>
      <c r="B272" s="1">
        <f t="shared" si="48"/>
        <v>6</v>
      </c>
      <c r="C272" s="1">
        <f t="shared" si="49"/>
        <v>15</v>
      </c>
      <c r="D272" s="1">
        <f t="shared" si="50"/>
        <v>20</v>
      </c>
      <c r="E272" s="1">
        <f t="shared" si="51"/>
        <v>22</v>
      </c>
      <c r="F272" s="3">
        <f t="shared" si="52"/>
        <v>1147.5</v>
      </c>
      <c r="G272" s="4">
        <f t="shared" si="53"/>
        <v>0</v>
      </c>
      <c r="H272" s="3" t="e">
        <f t="shared" si="54"/>
        <v>#VALUE!</v>
      </c>
      <c r="I272" s="1" t="b">
        <f t="shared" si="47"/>
        <v>0</v>
      </c>
      <c r="J272" s="1">
        <f>IF(Table1[[#This Row],[Rising Through Threshold]],Table1[[#This Row],[Start time]],J271)</f>
        <v>1109.25</v>
      </c>
      <c r="K272" s="1" t="str">
        <f>IF(AND(Table1[[#This Row],[Rising Through Threshold]],J271&gt;0),J272-J271,"")</f>
        <v/>
      </c>
    </row>
    <row r="273" spans="1:11" x14ac:dyDescent="0.45">
      <c r="A273" s="1" t="s">
        <v>741</v>
      </c>
      <c r="B273" s="1">
        <f t="shared" si="48"/>
        <v>6</v>
      </c>
      <c r="C273" s="1">
        <f t="shared" si="49"/>
        <v>15</v>
      </c>
      <c r="D273" s="1">
        <f t="shared" si="50"/>
        <v>20</v>
      </c>
      <c r="E273" s="1">
        <f t="shared" si="51"/>
        <v>22</v>
      </c>
      <c r="F273" s="3">
        <f t="shared" si="52"/>
        <v>1151.75</v>
      </c>
      <c r="G273" s="4">
        <f t="shared" si="53"/>
        <v>0.43</v>
      </c>
      <c r="H273" s="3" t="e">
        <f t="shared" si="54"/>
        <v>#VALUE!</v>
      </c>
      <c r="I273" s="1" t="b">
        <f t="shared" si="47"/>
        <v>0</v>
      </c>
      <c r="J273" s="1">
        <f>IF(Table1[[#This Row],[Rising Through Threshold]],Table1[[#This Row],[Start time]],J272)</f>
        <v>1109.25</v>
      </c>
      <c r="K273" s="1" t="str">
        <f>IF(AND(Table1[[#This Row],[Rising Through Threshold]],J272&gt;0),J273-J272,"")</f>
        <v/>
      </c>
    </row>
    <row r="274" spans="1:11" x14ac:dyDescent="0.45">
      <c r="A274" s="1" t="s">
        <v>742</v>
      </c>
      <c r="B274" s="1">
        <f t="shared" si="48"/>
        <v>6</v>
      </c>
      <c r="C274" s="1">
        <f t="shared" si="49"/>
        <v>13</v>
      </c>
      <c r="D274" s="1">
        <f t="shared" si="50"/>
        <v>18</v>
      </c>
      <c r="E274" s="1">
        <f t="shared" si="51"/>
        <v>20</v>
      </c>
      <c r="F274" s="3">
        <f t="shared" si="52"/>
        <v>1156</v>
      </c>
      <c r="G274" s="4">
        <f t="shared" si="53"/>
        <v>1.1000000000000001</v>
      </c>
      <c r="H274" s="3" t="e">
        <f t="shared" si="54"/>
        <v>#VALUE!</v>
      </c>
      <c r="I274" s="1" t="b">
        <f t="shared" si="47"/>
        <v>0</v>
      </c>
      <c r="J274" s="1">
        <f>IF(Table1[[#This Row],[Rising Through Threshold]],Table1[[#This Row],[Start time]],J273)</f>
        <v>1109.25</v>
      </c>
      <c r="K274" s="1" t="str">
        <f>IF(AND(Table1[[#This Row],[Rising Through Threshold]],J273&gt;0),J274-J273,"")</f>
        <v/>
      </c>
    </row>
    <row r="275" spans="1:11" x14ac:dyDescent="0.45">
      <c r="A275" s="1" t="s">
        <v>743</v>
      </c>
      <c r="B275" s="1">
        <f t="shared" si="48"/>
        <v>6</v>
      </c>
      <c r="C275" s="1">
        <f t="shared" si="49"/>
        <v>15</v>
      </c>
      <c r="D275" s="1">
        <f t="shared" si="50"/>
        <v>20</v>
      </c>
      <c r="E275" s="1">
        <f t="shared" si="51"/>
        <v>22</v>
      </c>
      <c r="F275" s="3">
        <f t="shared" si="52"/>
        <v>1160.25</v>
      </c>
      <c r="G275" s="4">
        <f t="shared" si="53"/>
        <v>2.59</v>
      </c>
      <c r="H275" s="3" t="e">
        <f t="shared" si="54"/>
        <v>#VALUE!</v>
      </c>
      <c r="I275" s="1" t="b">
        <f t="shared" si="47"/>
        <v>1</v>
      </c>
      <c r="J275" s="1">
        <f>IF(Table1[[#This Row],[Rising Through Threshold]],Table1[[#This Row],[Start time]],J274)</f>
        <v>1160.25</v>
      </c>
      <c r="K275" s="1">
        <f>IF(AND(Table1[[#This Row],[Rising Through Threshold]],J274&gt;0),J275-J274,"")</f>
        <v>51</v>
      </c>
    </row>
    <row r="276" spans="1:11" x14ac:dyDescent="0.45">
      <c r="A276" s="1" t="s">
        <v>744</v>
      </c>
      <c r="B276" s="1">
        <f t="shared" si="48"/>
        <v>6</v>
      </c>
      <c r="C276" s="1">
        <f t="shared" si="49"/>
        <v>15</v>
      </c>
      <c r="D276" s="1">
        <f t="shared" si="50"/>
        <v>20</v>
      </c>
      <c r="E276" s="1">
        <f t="shared" si="51"/>
        <v>22</v>
      </c>
      <c r="F276" s="3">
        <f t="shared" si="52"/>
        <v>1164.5</v>
      </c>
      <c r="G276" s="4">
        <f t="shared" si="53"/>
        <v>3.2</v>
      </c>
      <c r="H276" s="3" t="e">
        <f t="shared" si="54"/>
        <v>#VALUE!</v>
      </c>
      <c r="I276" s="1" t="b">
        <f t="shared" si="47"/>
        <v>0</v>
      </c>
      <c r="J276" s="1">
        <f>IF(Table1[[#This Row],[Rising Through Threshold]],Table1[[#This Row],[Start time]],J275)</f>
        <v>1160.25</v>
      </c>
      <c r="K276" s="1" t="str">
        <f>IF(AND(Table1[[#This Row],[Rising Through Threshold]],J275&gt;0),J276-J275,"")</f>
        <v/>
      </c>
    </row>
    <row r="277" spans="1:11" x14ac:dyDescent="0.45">
      <c r="A277" s="1" t="s">
        <v>745</v>
      </c>
      <c r="B277" s="1">
        <f t="shared" si="48"/>
        <v>6</v>
      </c>
      <c r="C277" s="1">
        <f t="shared" si="49"/>
        <v>15</v>
      </c>
      <c r="D277" s="1">
        <f t="shared" si="50"/>
        <v>20</v>
      </c>
      <c r="E277" s="1">
        <f t="shared" si="51"/>
        <v>22</v>
      </c>
      <c r="F277" s="3">
        <f t="shared" si="52"/>
        <v>1168.75</v>
      </c>
      <c r="G277" s="4">
        <f t="shared" si="53"/>
        <v>3.76</v>
      </c>
      <c r="H277" s="3" t="e">
        <f t="shared" si="54"/>
        <v>#VALUE!</v>
      </c>
      <c r="I277" s="1" t="b">
        <f t="shared" si="47"/>
        <v>0</v>
      </c>
      <c r="J277" s="1">
        <f>IF(Table1[[#This Row],[Rising Through Threshold]],Table1[[#This Row],[Start time]],J276)</f>
        <v>1160.25</v>
      </c>
      <c r="K277" s="1" t="str">
        <f>IF(AND(Table1[[#This Row],[Rising Through Threshold]],J276&gt;0),J277-J276,"")</f>
        <v/>
      </c>
    </row>
    <row r="278" spans="1:11" x14ac:dyDescent="0.45">
      <c r="A278" s="1" t="s">
        <v>746</v>
      </c>
      <c r="B278" s="1">
        <f t="shared" si="48"/>
        <v>6</v>
      </c>
      <c r="C278" s="1">
        <f t="shared" si="49"/>
        <v>13</v>
      </c>
      <c r="D278" s="1">
        <f t="shared" si="50"/>
        <v>18</v>
      </c>
      <c r="E278" s="1">
        <f t="shared" si="51"/>
        <v>20</v>
      </c>
      <c r="F278" s="3">
        <f t="shared" si="52"/>
        <v>1173</v>
      </c>
      <c r="G278" s="4">
        <f t="shared" si="53"/>
        <v>5</v>
      </c>
      <c r="H278" s="3" t="e">
        <f t="shared" si="54"/>
        <v>#VALUE!</v>
      </c>
      <c r="I278" s="1" t="b">
        <f t="shared" si="47"/>
        <v>0</v>
      </c>
      <c r="J278" s="1">
        <f>IF(Table1[[#This Row],[Rising Through Threshold]],Table1[[#This Row],[Start time]],J277)</f>
        <v>1160.25</v>
      </c>
      <c r="K278" s="1" t="str">
        <f>IF(AND(Table1[[#This Row],[Rising Through Threshold]],J277&gt;0),J278-J277,"")</f>
        <v/>
      </c>
    </row>
    <row r="279" spans="1:11" x14ac:dyDescent="0.45">
      <c r="A279" s="1" t="s">
        <v>747</v>
      </c>
      <c r="B279" s="1">
        <f t="shared" si="48"/>
        <v>6</v>
      </c>
      <c r="C279" s="1">
        <f t="shared" si="49"/>
        <v>15</v>
      </c>
      <c r="D279" s="1">
        <f t="shared" si="50"/>
        <v>20</v>
      </c>
      <c r="E279" s="1">
        <f t="shared" si="51"/>
        <v>22</v>
      </c>
      <c r="F279" s="3">
        <f t="shared" si="52"/>
        <v>1177.25</v>
      </c>
      <c r="G279" s="4">
        <f t="shared" si="53"/>
        <v>4.9400000000000004</v>
      </c>
      <c r="H279" s="3" t="e">
        <f t="shared" si="54"/>
        <v>#VALUE!</v>
      </c>
      <c r="I279" s="1" t="b">
        <f t="shared" si="47"/>
        <v>0</v>
      </c>
      <c r="J279" s="1">
        <f>IF(Table1[[#This Row],[Rising Through Threshold]],Table1[[#This Row],[Start time]],J278)</f>
        <v>1160.25</v>
      </c>
      <c r="K279" s="1" t="str">
        <f>IF(AND(Table1[[#This Row],[Rising Through Threshold]],J278&gt;0),J279-J278,"")</f>
        <v/>
      </c>
    </row>
    <row r="280" spans="1:11" x14ac:dyDescent="0.45">
      <c r="A280" s="1" t="s">
        <v>748</v>
      </c>
      <c r="B280" s="1">
        <f t="shared" si="48"/>
        <v>6</v>
      </c>
      <c r="C280" s="1">
        <f t="shared" si="49"/>
        <v>15</v>
      </c>
      <c r="D280" s="1">
        <f t="shared" si="50"/>
        <v>20</v>
      </c>
      <c r="E280" s="1">
        <f t="shared" si="51"/>
        <v>22</v>
      </c>
      <c r="F280" s="3">
        <f t="shared" si="52"/>
        <v>1181.5</v>
      </c>
      <c r="G280" s="4">
        <f t="shared" si="53"/>
        <v>4.0599999999999996</v>
      </c>
      <c r="H280" s="3" t="e">
        <f t="shared" si="54"/>
        <v>#VALUE!</v>
      </c>
      <c r="I280" s="1" t="b">
        <f t="shared" si="47"/>
        <v>0</v>
      </c>
      <c r="J280" s="1">
        <f>IF(Table1[[#This Row],[Rising Through Threshold]],Table1[[#This Row],[Start time]],J279)</f>
        <v>1160.25</v>
      </c>
      <c r="K280" s="1" t="str">
        <f>IF(AND(Table1[[#This Row],[Rising Through Threshold]],J279&gt;0),J280-J279,"")</f>
        <v/>
      </c>
    </row>
    <row r="281" spans="1:11" x14ac:dyDescent="0.45">
      <c r="A281" s="1" t="s">
        <v>749</v>
      </c>
      <c r="B281" s="1">
        <f t="shared" si="48"/>
        <v>6</v>
      </c>
      <c r="C281" s="1">
        <f t="shared" si="49"/>
        <v>15</v>
      </c>
      <c r="D281" s="1">
        <f t="shared" si="50"/>
        <v>20</v>
      </c>
      <c r="E281" s="1">
        <f t="shared" si="51"/>
        <v>22</v>
      </c>
      <c r="F281" s="3">
        <f t="shared" si="52"/>
        <v>1185.75</v>
      </c>
      <c r="G281" s="4">
        <f t="shared" si="53"/>
        <v>3.12</v>
      </c>
      <c r="H281" s="3" t="e">
        <f t="shared" si="54"/>
        <v>#VALUE!</v>
      </c>
      <c r="I281" s="1" t="b">
        <f t="shared" si="47"/>
        <v>0</v>
      </c>
      <c r="J281" s="1">
        <f>IF(Table1[[#This Row],[Rising Through Threshold]],Table1[[#This Row],[Start time]],J280)</f>
        <v>1160.25</v>
      </c>
      <c r="K281" s="1" t="str">
        <f>IF(AND(Table1[[#This Row],[Rising Through Threshold]],J280&gt;0),J281-J280,"")</f>
        <v/>
      </c>
    </row>
    <row r="282" spans="1:11" x14ac:dyDescent="0.45">
      <c r="A282" s="1" t="s">
        <v>750</v>
      </c>
      <c r="B282" s="1">
        <f t="shared" si="48"/>
        <v>6</v>
      </c>
      <c r="C282" s="1">
        <f t="shared" si="49"/>
        <v>13</v>
      </c>
      <c r="D282" s="1">
        <f t="shared" si="50"/>
        <v>18</v>
      </c>
      <c r="E282" s="1">
        <f t="shared" si="51"/>
        <v>20</v>
      </c>
      <c r="F282" s="3">
        <f t="shared" si="52"/>
        <v>1190</v>
      </c>
      <c r="G282" s="4">
        <f t="shared" si="53"/>
        <v>1.24</v>
      </c>
      <c r="H282" s="3" t="e">
        <f t="shared" si="54"/>
        <v>#VALUE!</v>
      </c>
      <c r="I282" s="1" t="b">
        <f t="shared" si="47"/>
        <v>0</v>
      </c>
      <c r="J282" s="1">
        <f>IF(Table1[[#This Row],[Rising Through Threshold]],Table1[[#This Row],[Start time]],J281)</f>
        <v>1160.25</v>
      </c>
      <c r="K282" s="1" t="str">
        <f>IF(AND(Table1[[#This Row],[Rising Through Threshold]],J281&gt;0),J282-J281,"")</f>
        <v/>
      </c>
    </row>
    <row r="283" spans="1:11" x14ac:dyDescent="0.45">
      <c r="A283" s="1" t="s">
        <v>751</v>
      </c>
      <c r="B283" s="1">
        <f t="shared" si="48"/>
        <v>6</v>
      </c>
      <c r="C283" s="1">
        <f t="shared" si="49"/>
        <v>15</v>
      </c>
      <c r="D283" s="1">
        <f t="shared" si="50"/>
        <v>20</v>
      </c>
      <c r="E283" s="1">
        <f t="shared" si="51"/>
        <v>22</v>
      </c>
      <c r="F283" s="3">
        <f t="shared" si="52"/>
        <v>1194.25</v>
      </c>
      <c r="G283" s="4">
        <f t="shared" si="53"/>
        <v>0.28999999999999998</v>
      </c>
      <c r="H283" s="3" t="e">
        <f t="shared" si="54"/>
        <v>#VALUE!</v>
      </c>
      <c r="I283" s="1" t="b">
        <f t="shared" si="47"/>
        <v>0</v>
      </c>
      <c r="J283" s="1">
        <f>IF(Table1[[#This Row],[Rising Through Threshold]],Table1[[#This Row],[Start time]],J282)</f>
        <v>1160.25</v>
      </c>
      <c r="K283" s="1" t="str">
        <f>IF(AND(Table1[[#This Row],[Rising Through Threshold]],J282&gt;0),J283-J282,"")</f>
        <v/>
      </c>
    </row>
    <row r="284" spans="1:11" x14ac:dyDescent="0.45">
      <c r="A284" s="1" t="s">
        <v>752</v>
      </c>
      <c r="B284" s="1">
        <f t="shared" si="48"/>
        <v>6</v>
      </c>
      <c r="C284" s="1">
        <f t="shared" si="49"/>
        <v>15</v>
      </c>
      <c r="D284" s="1">
        <f t="shared" si="50"/>
        <v>20</v>
      </c>
      <c r="E284" s="1">
        <f t="shared" si="51"/>
        <v>22</v>
      </c>
      <c r="F284" s="3">
        <f t="shared" si="52"/>
        <v>1198.5</v>
      </c>
      <c r="G284" s="4">
        <f t="shared" si="53"/>
        <v>0</v>
      </c>
      <c r="H284" s="3" t="e">
        <f t="shared" si="54"/>
        <v>#VALUE!</v>
      </c>
      <c r="I284" s="1" t="b">
        <f t="shared" si="47"/>
        <v>0</v>
      </c>
      <c r="J284" s="1">
        <f>IF(Table1[[#This Row],[Rising Through Threshold]],Table1[[#This Row],[Start time]],J283)</f>
        <v>1160.25</v>
      </c>
      <c r="K284" s="1" t="str">
        <f>IF(AND(Table1[[#This Row],[Rising Through Threshold]],J283&gt;0),J284-J283,"")</f>
        <v/>
      </c>
    </row>
    <row r="285" spans="1:11" x14ac:dyDescent="0.45">
      <c r="A285" s="1" t="s">
        <v>753</v>
      </c>
      <c r="B285" s="1">
        <f t="shared" si="48"/>
        <v>6</v>
      </c>
      <c r="C285" s="1">
        <f t="shared" si="49"/>
        <v>15</v>
      </c>
      <c r="D285" s="1">
        <f t="shared" si="50"/>
        <v>20</v>
      </c>
      <c r="E285" s="1">
        <f t="shared" si="51"/>
        <v>22</v>
      </c>
      <c r="F285" s="3">
        <f t="shared" si="52"/>
        <v>1202.75</v>
      </c>
      <c r="G285" s="4">
        <f t="shared" si="53"/>
        <v>0.39</v>
      </c>
      <c r="H285" s="3" t="e">
        <f t="shared" si="54"/>
        <v>#VALUE!</v>
      </c>
      <c r="I285" s="1" t="b">
        <f t="shared" si="47"/>
        <v>0</v>
      </c>
      <c r="J285" s="1">
        <f>IF(Table1[[#This Row],[Rising Through Threshold]],Table1[[#This Row],[Start time]],J284)</f>
        <v>1160.25</v>
      </c>
      <c r="K285" s="1" t="str">
        <f>IF(AND(Table1[[#This Row],[Rising Through Threshold]],J284&gt;0),J285-J284,"")</f>
        <v/>
      </c>
    </row>
    <row r="286" spans="1:11" x14ac:dyDescent="0.45">
      <c r="A286" s="1" t="s">
        <v>754</v>
      </c>
      <c r="B286" s="1">
        <f t="shared" si="48"/>
        <v>6</v>
      </c>
      <c r="C286" s="1">
        <f t="shared" si="49"/>
        <v>13</v>
      </c>
      <c r="D286" s="1">
        <f t="shared" si="50"/>
        <v>18</v>
      </c>
      <c r="E286" s="1">
        <f t="shared" si="51"/>
        <v>20</v>
      </c>
      <c r="F286" s="3">
        <f t="shared" si="52"/>
        <v>1207</v>
      </c>
      <c r="G286" s="4">
        <f t="shared" si="53"/>
        <v>1.06</v>
      </c>
      <c r="H286" s="3" t="e">
        <f t="shared" si="54"/>
        <v>#VALUE!</v>
      </c>
      <c r="I286" s="1" t="b">
        <f t="shared" si="47"/>
        <v>0</v>
      </c>
      <c r="J286" s="1">
        <f>IF(Table1[[#This Row],[Rising Through Threshold]],Table1[[#This Row],[Start time]],J285)</f>
        <v>1160.25</v>
      </c>
      <c r="K286" s="1" t="str">
        <f>IF(AND(Table1[[#This Row],[Rising Through Threshold]],J285&gt;0),J286-J285,"")</f>
        <v/>
      </c>
    </row>
    <row r="287" spans="1:11" x14ac:dyDescent="0.45">
      <c r="A287" s="1" t="s">
        <v>755</v>
      </c>
      <c r="B287" s="1">
        <f t="shared" si="48"/>
        <v>6</v>
      </c>
      <c r="C287" s="1">
        <f t="shared" si="49"/>
        <v>15</v>
      </c>
      <c r="D287" s="1">
        <f t="shared" si="50"/>
        <v>20</v>
      </c>
      <c r="E287" s="1">
        <f t="shared" si="51"/>
        <v>22</v>
      </c>
      <c r="F287" s="3">
        <f t="shared" si="52"/>
        <v>1211.25</v>
      </c>
      <c r="G287" s="4">
        <f t="shared" si="53"/>
        <v>1.8</v>
      </c>
      <c r="H287" s="3" t="e">
        <f t="shared" si="54"/>
        <v>#VALUE!</v>
      </c>
      <c r="I287" s="1" t="b">
        <f t="shared" si="47"/>
        <v>0</v>
      </c>
      <c r="J287" s="1">
        <f>IF(Table1[[#This Row],[Rising Through Threshold]],Table1[[#This Row],[Start time]],J286)</f>
        <v>1160.25</v>
      </c>
      <c r="K287" s="1" t="str">
        <f>IF(AND(Table1[[#This Row],[Rising Through Threshold]],J286&gt;0),J287-J286,"")</f>
        <v/>
      </c>
    </row>
    <row r="288" spans="1:11" x14ac:dyDescent="0.45">
      <c r="A288" s="1" t="s">
        <v>756</v>
      </c>
      <c r="B288" s="1">
        <f t="shared" si="48"/>
        <v>6</v>
      </c>
      <c r="C288" s="1">
        <f t="shared" si="49"/>
        <v>15</v>
      </c>
      <c r="D288" s="1">
        <f t="shared" si="50"/>
        <v>20</v>
      </c>
      <c r="E288" s="1">
        <f t="shared" si="51"/>
        <v>22</v>
      </c>
      <c r="F288" s="3">
        <f t="shared" si="52"/>
        <v>1215.5</v>
      </c>
      <c r="G288" s="4">
        <f t="shared" si="53"/>
        <v>2.5299999999999998</v>
      </c>
      <c r="H288" s="3" t="e">
        <f t="shared" si="54"/>
        <v>#VALUE!</v>
      </c>
      <c r="I288" s="1" t="b">
        <f t="shared" si="47"/>
        <v>1</v>
      </c>
      <c r="J288" s="1">
        <f>IF(Table1[[#This Row],[Rising Through Threshold]],Table1[[#This Row],[Start time]],J287)</f>
        <v>1215.5</v>
      </c>
      <c r="K288" s="1">
        <f>IF(AND(Table1[[#This Row],[Rising Through Threshold]],J287&gt;0),J288-J287,"")</f>
        <v>55.25</v>
      </c>
    </row>
    <row r="289" spans="1:11" x14ac:dyDescent="0.45">
      <c r="A289" s="1" t="s">
        <v>757</v>
      </c>
      <c r="B289" s="1">
        <f t="shared" si="48"/>
        <v>6</v>
      </c>
      <c r="C289" s="1">
        <f t="shared" si="49"/>
        <v>15</v>
      </c>
      <c r="D289" s="1">
        <f t="shared" si="50"/>
        <v>20</v>
      </c>
      <c r="E289" s="1">
        <f t="shared" si="51"/>
        <v>22</v>
      </c>
      <c r="F289" s="3">
        <f t="shared" si="52"/>
        <v>1219.75</v>
      </c>
      <c r="G289" s="4">
        <f t="shared" si="53"/>
        <v>3.63</v>
      </c>
      <c r="H289" s="3" t="e">
        <f t="shared" si="54"/>
        <v>#VALUE!</v>
      </c>
      <c r="I289" s="1" t="b">
        <f t="shared" si="47"/>
        <v>0</v>
      </c>
      <c r="J289" s="1">
        <f>IF(Table1[[#This Row],[Rising Through Threshold]],Table1[[#This Row],[Start time]],J288)</f>
        <v>1215.5</v>
      </c>
      <c r="K289" s="1" t="str">
        <f>IF(AND(Table1[[#This Row],[Rising Through Threshold]],J288&gt;0),J289-J288,"")</f>
        <v/>
      </c>
    </row>
    <row r="290" spans="1:11" x14ac:dyDescent="0.45">
      <c r="A290" s="1" t="s">
        <v>758</v>
      </c>
      <c r="B290" s="1">
        <f t="shared" si="48"/>
        <v>6</v>
      </c>
      <c r="C290" s="1">
        <f t="shared" si="49"/>
        <v>13</v>
      </c>
      <c r="D290" s="1">
        <f t="shared" si="50"/>
        <v>18</v>
      </c>
      <c r="E290" s="1">
        <f t="shared" si="51"/>
        <v>20</v>
      </c>
      <c r="F290" s="3">
        <f t="shared" si="52"/>
        <v>1224</v>
      </c>
      <c r="G290" s="4">
        <f t="shared" si="53"/>
        <v>4.51</v>
      </c>
      <c r="H290" s="3" t="e">
        <f t="shared" si="54"/>
        <v>#VALUE!</v>
      </c>
      <c r="I290" s="1" t="b">
        <f t="shared" si="47"/>
        <v>0</v>
      </c>
      <c r="J290" s="1">
        <f>IF(Table1[[#This Row],[Rising Through Threshold]],Table1[[#This Row],[Start time]],J289)</f>
        <v>1215.5</v>
      </c>
      <c r="K290" s="1" t="str">
        <f>IF(AND(Table1[[#This Row],[Rising Through Threshold]],J289&gt;0),J290-J289,"")</f>
        <v/>
      </c>
    </row>
    <row r="291" spans="1:11" x14ac:dyDescent="0.45">
      <c r="A291" s="1" t="s">
        <v>759</v>
      </c>
      <c r="B291" s="1">
        <f t="shared" si="48"/>
        <v>6</v>
      </c>
      <c r="C291" s="1">
        <f t="shared" si="49"/>
        <v>15</v>
      </c>
      <c r="D291" s="1">
        <f t="shared" si="50"/>
        <v>20</v>
      </c>
      <c r="E291" s="1">
        <f t="shared" si="51"/>
        <v>22</v>
      </c>
      <c r="F291" s="3">
        <f t="shared" si="52"/>
        <v>1228.25</v>
      </c>
      <c r="G291" s="4">
        <f t="shared" si="53"/>
        <v>5</v>
      </c>
      <c r="H291" s="3" t="e">
        <f t="shared" si="54"/>
        <v>#VALUE!</v>
      </c>
      <c r="I291" s="1" t="b">
        <f t="shared" si="47"/>
        <v>0</v>
      </c>
      <c r="J291" s="1">
        <f>IF(Table1[[#This Row],[Rising Through Threshold]],Table1[[#This Row],[Start time]],J290)</f>
        <v>1215.5</v>
      </c>
      <c r="K291" s="1" t="str">
        <f>IF(AND(Table1[[#This Row],[Rising Through Threshold]],J290&gt;0),J291-J290,"")</f>
        <v/>
      </c>
    </row>
    <row r="292" spans="1:11" x14ac:dyDescent="0.45">
      <c r="A292" s="1" t="s">
        <v>760</v>
      </c>
      <c r="B292" s="1">
        <f t="shared" si="48"/>
        <v>6</v>
      </c>
      <c r="C292" s="1">
        <f t="shared" si="49"/>
        <v>15</v>
      </c>
      <c r="D292" s="1">
        <f t="shared" si="50"/>
        <v>20</v>
      </c>
      <c r="E292" s="1">
        <f t="shared" si="51"/>
        <v>22</v>
      </c>
      <c r="F292" s="3">
        <f t="shared" si="52"/>
        <v>1232.5</v>
      </c>
      <c r="G292" s="4">
        <f t="shared" si="53"/>
        <v>4.0599999999999996</v>
      </c>
      <c r="H292" s="3" t="e">
        <f t="shared" si="54"/>
        <v>#VALUE!</v>
      </c>
      <c r="I292" s="1" t="b">
        <f t="shared" si="47"/>
        <v>0</v>
      </c>
      <c r="J292" s="1">
        <f>IF(Table1[[#This Row],[Rising Through Threshold]],Table1[[#This Row],[Start time]],J291)</f>
        <v>1215.5</v>
      </c>
      <c r="K292" s="1" t="str">
        <f>IF(AND(Table1[[#This Row],[Rising Through Threshold]],J291&gt;0),J292-J291,"")</f>
        <v/>
      </c>
    </row>
    <row r="293" spans="1:11" x14ac:dyDescent="0.45">
      <c r="A293" s="1" t="s">
        <v>761</v>
      </c>
      <c r="B293" s="1">
        <f t="shared" si="48"/>
        <v>6</v>
      </c>
      <c r="C293" s="1">
        <f t="shared" si="49"/>
        <v>15</v>
      </c>
      <c r="D293" s="1">
        <f t="shared" si="50"/>
        <v>20</v>
      </c>
      <c r="E293" s="1">
        <f t="shared" si="51"/>
        <v>22</v>
      </c>
      <c r="F293" s="3">
        <f t="shared" si="52"/>
        <v>1236.75</v>
      </c>
      <c r="G293" s="4">
        <f t="shared" si="53"/>
        <v>3.12</v>
      </c>
      <c r="H293" s="3" t="e">
        <f t="shared" si="54"/>
        <v>#VALUE!</v>
      </c>
      <c r="I293" s="1" t="b">
        <f t="shared" si="47"/>
        <v>0</v>
      </c>
      <c r="J293" s="1">
        <f>IF(Table1[[#This Row],[Rising Through Threshold]],Table1[[#This Row],[Start time]],J292)</f>
        <v>1215.5</v>
      </c>
      <c r="K293" s="1" t="str">
        <f>IF(AND(Table1[[#This Row],[Rising Through Threshold]],J292&gt;0),J293-J292,"")</f>
        <v/>
      </c>
    </row>
    <row r="294" spans="1:11" x14ac:dyDescent="0.45">
      <c r="A294" s="1" t="s">
        <v>762</v>
      </c>
      <c r="B294" s="1">
        <f t="shared" si="48"/>
        <v>6</v>
      </c>
      <c r="C294" s="1">
        <f t="shared" si="49"/>
        <v>13</v>
      </c>
      <c r="D294" s="1">
        <f t="shared" si="50"/>
        <v>18</v>
      </c>
      <c r="E294" s="1">
        <f t="shared" si="51"/>
        <v>20</v>
      </c>
      <c r="F294" s="3">
        <f t="shared" si="52"/>
        <v>1241</v>
      </c>
      <c r="G294" s="4">
        <f t="shared" si="53"/>
        <v>2.2000000000000002</v>
      </c>
      <c r="H294" s="3" t="e">
        <f t="shared" si="54"/>
        <v>#VALUE!</v>
      </c>
      <c r="I294" s="1" t="b">
        <f t="shared" si="47"/>
        <v>0</v>
      </c>
      <c r="J294" s="1">
        <f>IF(Table1[[#This Row],[Rising Through Threshold]],Table1[[#This Row],[Start time]],J293)</f>
        <v>1215.5</v>
      </c>
      <c r="K294" s="1" t="str">
        <f>IF(AND(Table1[[#This Row],[Rising Through Threshold]],J293&gt;0),J294-J293,"")</f>
        <v/>
      </c>
    </row>
    <row r="295" spans="1:11" x14ac:dyDescent="0.45">
      <c r="A295" s="1" t="s">
        <v>763</v>
      </c>
      <c r="B295" s="1">
        <f t="shared" si="48"/>
        <v>6</v>
      </c>
      <c r="C295" s="1">
        <f t="shared" si="49"/>
        <v>15</v>
      </c>
      <c r="D295" s="1">
        <f t="shared" si="50"/>
        <v>20</v>
      </c>
      <c r="E295" s="1">
        <f t="shared" si="51"/>
        <v>22</v>
      </c>
      <c r="F295" s="3">
        <f t="shared" si="52"/>
        <v>1245.25</v>
      </c>
      <c r="G295" s="4">
        <f t="shared" si="53"/>
        <v>0.31</v>
      </c>
      <c r="H295" s="3" t="e">
        <f t="shared" si="54"/>
        <v>#VALUE!</v>
      </c>
      <c r="I295" s="1" t="b">
        <f t="shared" si="47"/>
        <v>0</v>
      </c>
      <c r="J295" s="1">
        <f>IF(Table1[[#This Row],[Rising Through Threshold]],Table1[[#This Row],[Start time]],J294)</f>
        <v>1215.5</v>
      </c>
      <c r="K295" s="1" t="str">
        <f>IF(AND(Table1[[#This Row],[Rising Through Threshold]],J294&gt;0),J295-J294,"")</f>
        <v/>
      </c>
    </row>
    <row r="296" spans="1:11" x14ac:dyDescent="0.45">
      <c r="A296" s="1" t="s">
        <v>764</v>
      </c>
      <c r="B296" s="1">
        <f t="shared" si="48"/>
        <v>6</v>
      </c>
      <c r="C296" s="1">
        <f t="shared" si="49"/>
        <v>15</v>
      </c>
      <c r="D296" s="1">
        <f t="shared" si="50"/>
        <v>20</v>
      </c>
      <c r="E296" s="1">
        <f t="shared" si="51"/>
        <v>22</v>
      </c>
      <c r="F296" s="3">
        <f t="shared" si="52"/>
        <v>1249.5</v>
      </c>
      <c r="G296" s="4">
        <f t="shared" si="53"/>
        <v>0</v>
      </c>
      <c r="H296" s="3" t="e">
        <f t="shared" si="54"/>
        <v>#VALUE!</v>
      </c>
      <c r="I296" s="1" t="b">
        <f t="shared" si="47"/>
        <v>0</v>
      </c>
      <c r="J296" s="1">
        <f>IF(Table1[[#This Row],[Rising Through Threshold]],Table1[[#This Row],[Start time]],J295)</f>
        <v>1215.5</v>
      </c>
      <c r="K296" s="1" t="str">
        <f>IF(AND(Table1[[#This Row],[Rising Through Threshold]],J295&gt;0),J296-J295,"")</f>
        <v/>
      </c>
    </row>
    <row r="297" spans="1:11" x14ac:dyDescent="0.45">
      <c r="A297" s="1" t="s">
        <v>765</v>
      </c>
      <c r="B297" s="1">
        <f t="shared" si="48"/>
        <v>6</v>
      </c>
      <c r="C297" s="1">
        <f t="shared" si="49"/>
        <v>15</v>
      </c>
      <c r="D297" s="1">
        <f t="shared" si="50"/>
        <v>20</v>
      </c>
      <c r="E297" s="1">
        <f t="shared" si="51"/>
        <v>22</v>
      </c>
      <c r="F297" s="3">
        <f t="shared" si="52"/>
        <v>1253.75</v>
      </c>
      <c r="G297" s="4">
        <f t="shared" si="53"/>
        <v>0</v>
      </c>
      <c r="H297" s="3" t="e">
        <f t="shared" si="54"/>
        <v>#VALUE!</v>
      </c>
      <c r="I297" s="1" t="b">
        <f t="shared" si="47"/>
        <v>0</v>
      </c>
      <c r="J297" s="1">
        <f>IF(Table1[[#This Row],[Rising Through Threshold]],Table1[[#This Row],[Start time]],J296)</f>
        <v>1215.5</v>
      </c>
      <c r="K297" s="1" t="str">
        <f>IF(AND(Table1[[#This Row],[Rising Through Threshold]],J296&gt;0),J297-J296,"")</f>
        <v/>
      </c>
    </row>
    <row r="298" spans="1:11" x14ac:dyDescent="0.45">
      <c r="A298" s="1" t="s">
        <v>766</v>
      </c>
      <c r="B298" s="1">
        <f t="shared" si="48"/>
        <v>6</v>
      </c>
      <c r="C298" s="1">
        <f t="shared" si="49"/>
        <v>13</v>
      </c>
      <c r="D298" s="1">
        <f t="shared" si="50"/>
        <v>18</v>
      </c>
      <c r="E298" s="1">
        <f t="shared" si="51"/>
        <v>20</v>
      </c>
      <c r="F298" s="3">
        <f t="shared" si="52"/>
        <v>1258</v>
      </c>
      <c r="G298" s="4">
        <f t="shared" si="53"/>
        <v>0.33</v>
      </c>
      <c r="H298" s="3" t="e">
        <f t="shared" si="54"/>
        <v>#VALUE!</v>
      </c>
      <c r="I298" s="1" t="b">
        <f t="shared" si="47"/>
        <v>0</v>
      </c>
      <c r="J298" s="1">
        <f>IF(Table1[[#This Row],[Rising Through Threshold]],Table1[[#This Row],[Start time]],J297)</f>
        <v>1215.5</v>
      </c>
      <c r="K298" s="1" t="str">
        <f>IF(AND(Table1[[#This Row],[Rising Through Threshold]],J297&gt;0),J298-J297,"")</f>
        <v/>
      </c>
    </row>
    <row r="299" spans="1:11" x14ac:dyDescent="0.45">
      <c r="A299" s="1" t="s">
        <v>767</v>
      </c>
      <c r="B299" s="1">
        <f t="shared" si="48"/>
        <v>6</v>
      </c>
      <c r="C299" s="1">
        <f t="shared" si="49"/>
        <v>15</v>
      </c>
      <c r="D299" s="1">
        <f t="shared" si="50"/>
        <v>20</v>
      </c>
      <c r="E299" s="1">
        <f t="shared" si="51"/>
        <v>22</v>
      </c>
      <c r="F299" s="3">
        <f t="shared" si="52"/>
        <v>1262.25</v>
      </c>
      <c r="G299" s="4">
        <f t="shared" si="53"/>
        <v>1.75</v>
      </c>
      <c r="H299" s="3" t="e">
        <f t="shared" si="54"/>
        <v>#VALUE!</v>
      </c>
      <c r="I299" s="1" t="b">
        <f t="shared" si="47"/>
        <v>0</v>
      </c>
      <c r="J299" s="1">
        <f>IF(Table1[[#This Row],[Rising Through Threshold]],Table1[[#This Row],[Start time]],J298)</f>
        <v>1215.5</v>
      </c>
      <c r="K299" s="1" t="str">
        <f>IF(AND(Table1[[#This Row],[Rising Through Threshold]],J298&gt;0),J299-J298,"")</f>
        <v/>
      </c>
    </row>
    <row r="300" spans="1:11" x14ac:dyDescent="0.45">
      <c r="A300" s="1" t="s">
        <v>768</v>
      </c>
      <c r="B300" s="1">
        <f t="shared" si="48"/>
        <v>6</v>
      </c>
      <c r="C300" s="1">
        <f t="shared" si="49"/>
        <v>15</v>
      </c>
      <c r="D300" s="1">
        <f t="shared" si="50"/>
        <v>20</v>
      </c>
      <c r="E300" s="1">
        <f t="shared" si="51"/>
        <v>22</v>
      </c>
      <c r="F300" s="3">
        <f t="shared" si="52"/>
        <v>1266.5</v>
      </c>
      <c r="G300" s="4">
        <f t="shared" si="53"/>
        <v>2.5099999999999998</v>
      </c>
      <c r="H300" s="3" t="e">
        <f t="shared" si="54"/>
        <v>#VALUE!</v>
      </c>
      <c r="I300" s="1" t="b">
        <f t="shared" si="47"/>
        <v>1</v>
      </c>
      <c r="J300" s="1">
        <f>IF(Table1[[#This Row],[Rising Through Threshold]],Table1[[#This Row],[Start time]],J299)</f>
        <v>1266.5</v>
      </c>
      <c r="K300" s="1">
        <f>IF(AND(Table1[[#This Row],[Rising Through Threshold]],J299&gt;0),J300-J299,"")</f>
        <v>51</v>
      </c>
    </row>
    <row r="301" spans="1:11" x14ac:dyDescent="0.45">
      <c r="A301" s="1" t="s">
        <v>769</v>
      </c>
      <c r="B301" s="1">
        <f t="shared" si="48"/>
        <v>6</v>
      </c>
      <c r="C301" s="1">
        <f t="shared" si="49"/>
        <v>15</v>
      </c>
      <c r="D301" s="1">
        <f t="shared" si="50"/>
        <v>20</v>
      </c>
      <c r="E301" s="1">
        <f t="shared" si="51"/>
        <v>22</v>
      </c>
      <c r="F301" s="3">
        <f t="shared" si="52"/>
        <v>1270.75</v>
      </c>
      <c r="G301" s="4">
        <f t="shared" si="53"/>
        <v>3.12</v>
      </c>
      <c r="H301" s="3" t="e">
        <f t="shared" si="54"/>
        <v>#VALUE!</v>
      </c>
      <c r="I301" s="1" t="b">
        <f t="shared" ref="I301:I364" si="55">AND(G300&lt;Threshold,G301&gt;Threshold)</f>
        <v>0</v>
      </c>
      <c r="J301" s="1">
        <f>IF(Table1[[#This Row],[Rising Through Threshold]],Table1[[#This Row],[Start time]],J300)</f>
        <v>1266.5</v>
      </c>
      <c r="K301" s="1" t="str">
        <f>IF(AND(Table1[[#This Row],[Rising Through Threshold]],J300&gt;0),J301-J300,"")</f>
        <v/>
      </c>
    </row>
    <row r="302" spans="1:11" x14ac:dyDescent="0.45">
      <c r="A302" s="1" t="s">
        <v>770</v>
      </c>
      <c r="B302" s="1">
        <f t="shared" si="48"/>
        <v>6</v>
      </c>
      <c r="C302" s="1">
        <f t="shared" si="49"/>
        <v>13</v>
      </c>
      <c r="D302" s="1">
        <f t="shared" si="50"/>
        <v>18</v>
      </c>
      <c r="E302" s="1">
        <f t="shared" si="51"/>
        <v>20</v>
      </c>
      <c r="F302" s="3">
        <f t="shared" si="52"/>
        <v>1275</v>
      </c>
      <c r="G302" s="4">
        <f t="shared" si="53"/>
        <v>4.41</v>
      </c>
      <c r="H302" s="3" t="e">
        <f t="shared" si="54"/>
        <v>#VALUE!</v>
      </c>
      <c r="I302" s="1" t="b">
        <f t="shared" si="55"/>
        <v>0</v>
      </c>
      <c r="J302" s="1">
        <f>IF(Table1[[#This Row],[Rising Through Threshold]],Table1[[#This Row],[Start time]],J301)</f>
        <v>1266.5</v>
      </c>
      <c r="K302" s="1" t="str">
        <f>IF(AND(Table1[[#This Row],[Rising Through Threshold]],J301&gt;0),J302-J301,"")</f>
        <v/>
      </c>
    </row>
    <row r="303" spans="1:11" x14ac:dyDescent="0.45">
      <c r="A303" s="1" t="s">
        <v>771</v>
      </c>
      <c r="B303" s="1">
        <f t="shared" si="48"/>
        <v>6</v>
      </c>
      <c r="C303" s="1">
        <f t="shared" si="49"/>
        <v>15</v>
      </c>
      <c r="D303" s="1">
        <f t="shared" si="50"/>
        <v>20</v>
      </c>
      <c r="E303" s="1">
        <f t="shared" si="51"/>
        <v>22</v>
      </c>
      <c r="F303" s="3">
        <f t="shared" si="52"/>
        <v>1279.25</v>
      </c>
      <c r="G303" s="4">
        <f t="shared" si="53"/>
        <v>5</v>
      </c>
      <c r="H303" s="3" t="e">
        <f t="shared" si="54"/>
        <v>#VALUE!</v>
      </c>
      <c r="I303" s="1" t="b">
        <f t="shared" si="55"/>
        <v>0</v>
      </c>
      <c r="J303" s="1">
        <f>IF(Table1[[#This Row],[Rising Through Threshold]],Table1[[#This Row],[Start time]],J302)</f>
        <v>1266.5</v>
      </c>
      <c r="K303" s="1" t="str">
        <f>IF(AND(Table1[[#This Row],[Rising Through Threshold]],J302&gt;0),J303-J302,"")</f>
        <v/>
      </c>
    </row>
    <row r="304" spans="1:11" x14ac:dyDescent="0.45">
      <c r="A304" s="1" t="s">
        <v>772</v>
      </c>
      <c r="B304" s="1">
        <f t="shared" si="48"/>
        <v>6</v>
      </c>
      <c r="C304" s="1">
        <f t="shared" si="49"/>
        <v>15</v>
      </c>
      <c r="D304" s="1">
        <f t="shared" si="50"/>
        <v>20</v>
      </c>
      <c r="E304" s="1">
        <f t="shared" si="51"/>
        <v>22</v>
      </c>
      <c r="F304" s="3">
        <f t="shared" si="52"/>
        <v>1283.5</v>
      </c>
      <c r="G304" s="4">
        <f t="shared" si="53"/>
        <v>5</v>
      </c>
      <c r="H304" s="3" t="e">
        <f t="shared" si="54"/>
        <v>#VALUE!</v>
      </c>
      <c r="I304" s="1" t="b">
        <f t="shared" si="55"/>
        <v>0</v>
      </c>
      <c r="J304" s="1">
        <f>IF(Table1[[#This Row],[Rising Through Threshold]],Table1[[#This Row],[Start time]],J303)</f>
        <v>1266.5</v>
      </c>
      <c r="K304" s="1" t="str">
        <f>IF(AND(Table1[[#This Row],[Rising Through Threshold]],J303&gt;0),J304-J303,"")</f>
        <v/>
      </c>
    </row>
    <row r="305" spans="1:11" x14ac:dyDescent="0.45">
      <c r="A305" s="1" t="s">
        <v>773</v>
      </c>
      <c r="B305" s="1">
        <f t="shared" si="48"/>
        <v>6</v>
      </c>
      <c r="C305" s="1">
        <f t="shared" si="49"/>
        <v>15</v>
      </c>
      <c r="D305" s="1">
        <f t="shared" si="50"/>
        <v>20</v>
      </c>
      <c r="E305" s="1">
        <f t="shared" si="51"/>
        <v>22</v>
      </c>
      <c r="F305" s="3">
        <f t="shared" si="52"/>
        <v>1287.75</v>
      </c>
      <c r="G305" s="4">
        <f t="shared" si="53"/>
        <v>4.1399999999999997</v>
      </c>
      <c r="H305" s="3" t="e">
        <f t="shared" si="54"/>
        <v>#VALUE!</v>
      </c>
      <c r="I305" s="1" t="b">
        <f t="shared" si="55"/>
        <v>0</v>
      </c>
      <c r="J305" s="1">
        <f>IF(Table1[[#This Row],[Rising Through Threshold]],Table1[[#This Row],[Start time]],J304)</f>
        <v>1266.5</v>
      </c>
      <c r="K305" s="1" t="str">
        <f>IF(AND(Table1[[#This Row],[Rising Through Threshold]],J304&gt;0),J305-J304,"")</f>
        <v/>
      </c>
    </row>
    <row r="306" spans="1:11" x14ac:dyDescent="0.45">
      <c r="A306" s="1" t="s">
        <v>774</v>
      </c>
      <c r="B306" s="1">
        <f t="shared" si="48"/>
        <v>6</v>
      </c>
      <c r="C306" s="1">
        <f t="shared" si="49"/>
        <v>13</v>
      </c>
      <c r="D306" s="1">
        <f t="shared" si="50"/>
        <v>18</v>
      </c>
      <c r="E306" s="1">
        <f t="shared" si="51"/>
        <v>20</v>
      </c>
      <c r="F306" s="3">
        <f t="shared" si="52"/>
        <v>1292</v>
      </c>
      <c r="G306" s="4">
        <f t="shared" si="53"/>
        <v>2.25</v>
      </c>
      <c r="H306" s="3" t="e">
        <f t="shared" si="54"/>
        <v>#VALUE!</v>
      </c>
      <c r="I306" s="1" t="b">
        <f t="shared" si="55"/>
        <v>0</v>
      </c>
      <c r="J306" s="1">
        <f>IF(Table1[[#This Row],[Rising Through Threshold]],Table1[[#This Row],[Start time]],J305)</f>
        <v>1266.5</v>
      </c>
      <c r="K306" s="1" t="str">
        <f>IF(AND(Table1[[#This Row],[Rising Through Threshold]],J305&gt;0),J306-J305,"")</f>
        <v/>
      </c>
    </row>
    <row r="307" spans="1:11" x14ac:dyDescent="0.45">
      <c r="A307" s="1" t="s">
        <v>775</v>
      </c>
      <c r="B307" s="1">
        <f t="shared" si="48"/>
        <v>6</v>
      </c>
      <c r="C307" s="1">
        <f t="shared" si="49"/>
        <v>15</v>
      </c>
      <c r="D307" s="1">
        <f t="shared" si="50"/>
        <v>20</v>
      </c>
      <c r="E307" s="1">
        <f t="shared" si="51"/>
        <v>22</v>
      </c>
      <c r="F307" s="3">
        <f t="shared" si="52"/>
        <v>1296.25</v>
      </c>
      <c r="G307" s="4">
        <f t="shared" si="53"/>
        <v>1.31</v>
      </c>
      <c r="H307" s="3" t="e">
        <f t="shared" si="54"/>
        <v>#VALUE!</v>
      </c>
      <c r="I307" s="1" t="b">
        <f t="shared" si="55"/>
        <v>0</v>
      </c>
      <c r="J307" s="1">
        <f>IF(Table1[[#This Row],[Rising Through Threshold]],Table1[[#This Row],[Start time]],J306)</f>
        <v>1266.5</v>
      </c>
      <c r="K307" s="1" t="str">
        <f>IF(AND(Table1[[#This Row],[Rising Through Threshold]],J306&gt;0),J307-J306,"")</f>
        <v/>
      </c>
    </row>
    <row r="308" spans="1:11" x14ac:dyDescent="0.45">
      <c r="A308" s="1" t="s">
        <v>776</v>
      </c>
      <c r="B308" s="1">
        <f t="shared" si="48"/>
        <v>6</v>
      </c>
      <c r="C308" s="1">
        <f t="shared" si="49"/>
        <v>15</v>
      </c>
      <c r="D308" s="1">
        <f t="shared" si="50"/>
        <v>20</v>
      </c>
      <c r="E308" s="1">
        <f t="shared" si="51"/>
        <v>22</v>
      </c>
      <c r="F308" s="3">
        <f t="shared" si="52"/>
        <v>1300.5</v>
      </c>
      <c r="G308" s="4">
        <f t="shared" si="53"/>
        <v>0.39</v>
      </c>
      <c r="H308" s="3" t="e">
        <f t="shared" si="54"/>
        <v>#VALUE!</v>
      </c>
      <c r="I308" s="1" t="b">
        <f t="shared" si="55"/>
        <v>0</v>
      </c>
      <c r="J308" s="1">
        <f>IF(Table1[[#This Row],[Rising Through Threshold]],Table1[[#This Row],[Start time]],J307)</f>
        <v>1266.5</v>
      </c>
      <c r="K308" s="1" t="str">
        <f>IF(AND(Table1[[#This Row],[Rising Through Threshold]],J307&gt;0),J308-J307,"")</f>
        <v/>
      </c>
    </row>
    <row r="309" spans="1:11" x14ac:dyDescent="0.45">
      <c r="A309" s="1" t="s">
        <v>483</v>
      </c>
      <c r="B309" s="1">
        <f t="shared" si="48"/>
        <v>6</v>
      </c>
      <c r="C309" s="1">
        <f t="shared" si="49"/>
        <v>15</v>
      </c>
      <c r="D309" s="1">
        <f t="shared" si="50"/>
        <v>20</v>
      </c>
      <c r="E309" s="1">
        <f t="shared" si="51"/>
        <v>22</v>
      </c>
      <c r="F309" s="3">
        <f t="shared" si="52"/>
        <v>1304.75</v>
      </c>
      <c r="G309" s="4">
        <f t="shared" si="53"/>
        <v>0</v>
      </c>
      <c r="H309" s="3" t="e">
        <f t="shared" si="54"/>
        <v>#VALUE!</v>
      </c>
      <c r="I309" s="1" t="b">
        <f t="shared" si="55"/>
        <v>0</v>
      </c>
      <c r="J309" s="1">
        <f>IF(Table1[[#This Row],[Rising Through Threshold]],Table1[[#This Row],[Start time]],J308)</f>
        <v>1266.5</v>
      </c>
      <c r="K309" s="1" t="str">
        <f>IF(AND(Table1[[#This Row],[Rising Through Threshold]],J308&gt;0),J309-J308,"")</f>
        <v/>
      </c>
    </row>
    <row r="310" spans="1:11" x14ac:dyDescent="0.45">
      <c r="A310" s="1" t="s">
        <v>777</v>
      </c>
      <c r="B310" s="1">
        <f t="shared" si="48"/>
        <v>6</v>
      </c>
      <c r="C310" s="1">
        <f t="shared" si="49"/>
        <v>13</v>
      </c>
      <c r="D310" s="1">
        <f t="shared" si="50"/>
        <v>18</v>
      </c>
      <c r="E310" s="1">
        <f t="shared" si="51"/>
        <v>20</v>
      </c>
      <c r="F310" s="3">
        <f t="shared" si="52"/>
        <v>1309</v>
      </c>
      <c r="G310" s="4">
        <f t="shared" si="53"/>
        <v>0.31</v>
      </c>
      <c r="H310" s="3" t="e">
        <f t="shared" si="54"/>
        <v>#VALUE!</v>
      </c>
      <c r="I310" s="1" t="b">
        <f t="shared" si="55"/>
        <v>0</v>
      </c>
      <c r="J310" s="1">
        <f>IF(Table1[[#This Row],[Rising Through Threshold]],Table1[[#This Row],[Start time]],J309)</f>
        <v>1266.5</v>
      </c>
      <c r="K310" s="1" t="str">
        <f>IF(AND(Table1[[#This Row],[Rising Through Threshold]],J309&gt;0),J310-J309,"")</f>
        <v/>
      </c>
    </row>
    <row r="311" spans="1:11" x14ac:dyDescent="0.45">
      <c r="A311" s="1" t="s">
        <v>778</v>
      </c>
      <c r="B311" s="1">
        <f t="shared" si="48"/>
        <v>6</v>
      </c>
      <c r="C311" s="1">
        <f t="shared" si="49"/>
        <v>15</v>
      </c>
      <c r="D311" s="1">
        <f t="shared" si="50"/>
        <v>20</v>
      </c>
      <c r="E311" s="1">
        <f t="shared" si="51"/>
        <v>22</v>
      </c>
      <c r="F311" s="3">
        <f t="shared" si="52"/>
        <v>1313.25</v>
      </c>
      <c r="G311" s="4">
        <f t="shared" si="53"/>
        <v>0.94</v>
      </c>
      <c r="H311" s="3" t="e">
        <f t="shared" si="54"/>
        <v>#VALUE!</v>
      </c>
      <c r="I311" s="1" t="b">
        <f t="shared" si="55"/>
        <v>0</v>
      </c>
      <c r="J311" s="1">
        <f>IF(Table1[[#This Row],[Rising Through Threshold]],Table1[[#This Row],[Start time]],J310)</f>
        <v>1266.5</v>
      </c>
      <c r="K311" s="1" t="str">
        <f>IF(AND(Table1[[#This Row],[Rising Through Threshold]],J310&gt;0),J311-J310,"")</f>
        <v/>
      </c>
    </row>
    <row r="312" spans="1:11" x14ac:dyDescent="0.45">
      <c r="A312" s="1" t="s">
        <v>779</v>
      </c>
      <c r="B312" s="1">
        <f t="shared" si="48"/>
        <v>6</v>
      </c>
      <c r="C312" s="1">
        <f t="shared" si="49"/>
        <v>15</v>
      </c>
      <c r="D312" s="1">
        <f t="shared" si="50"/>
        <v>20</v>
      </c>
      <c r="E312" s="1">
        <f t="shared" si="51"/>
        <v>22</v>
      </c>
      <c r="F312" s="3">
        <f t="shared" si="52"/>
        <v>1317.5</v>
      </c>
      <c r="G312" s="4">
        <f t="shared" si="53"/>
        <v>2.4700000000000002</v>
      </c>
      <c r="H312" s="3" t="e">
        <f t="shared" si="54"/>
        <v>#VALUE!</v>
      </c>
      <c r="I312" s="1" t="b">
        <f t="shared" si="55"/>
        <v>1</v>
      </c>
      <c r="J312" s="1">
        <f>IF(Table1[[#This Row],[Rising Through Threshold]],Table1[[#This Row],[Start time]],J311)</f>
        <v>1317.5</v>
      </c>
      <c r="K312" s="1">
        <f>IF(AND(Table1[[#This Row],[Rising Through Threshold]],J311&gt;0),J312-J311,"")</f>
        <v>51</v>
      </c>
    </row>
    <row r="313" spans="1:11" x14ac:dyDescent="0.45">
      <c r="A313" s="1" t="s">
        <v>780</v>
      </c>
      <c r="B313" s="1">
        <f t="shared" ref="B313:B376" si="56">FIND(":",$A313,1)</f>
        <v>6</v>
      </c>
      <c r="C313" s="1">
        <f t="shared" ref="C313:C376" si="57">FIND(":",$A313,B313+1)</f>
        <v>15</v>
      </c>
      <c r="D313" s="1">
        <f t="shared" ref="D313:D376" si="58">FIND(":",$A313,C313+1)</f>
        <v>20</v>
      </c>
      <c r="E313" s="1">
        <f t="shared" ref="E313:E376" si="59">FIND(":",$A313,D313+1)</f>
        <v>22</v>
      </c>
      <c r="F313" s="3">
        <f t="shared" ref="F313:F376" si="60">_xlfn.NUMBERVALUE(MID($A313,B313+1,C313-B313-1))</f>
        <v>1321.75</v>
      </c>
      <c r="G313" s="4">
        <f t="shared" ref="G313:G376" si="61">_xlfn.NUMBERVALUE(MID($A313,C313+1,D313-C313-1))</f>
        <v>3.12</v>
      </c>
      <c r="H313" s="3" t="e">
        <f t="shared" ref="H313:H376" si="62">_xlfn.NUMBERVALUE(MID($A313,E313+1,1000))</f>
        <v>#VALUE!</v>
      </c>
      <c r="I313" s="1" t="b">
        <f t="shared" si="55"/>
        <v>0</v>
      </c>
      <c r="J313" s="1">
        <f>IF(Table1[[#This Row],[Rising Through Threshold]],Table1[[#This Row],[Start time]],J312)</f>
        <v>1317.5</v>
      </c>
      <c r="K313" s="1" t="str">
        <f>IF(AND(Table1[[#This Row],[Rising Through Threshold]],J312&gt;0),J313-J312,"")</f>
        <v/>
      </c>
    </row>
    <row r="314" spans="1:11" x14ac:dyDescent="0.45">
      <c r="A314" s="1" t="s">
        <v>781</v>
      </c>
      <c r="B314" s="1">
        <f t="shared" si="56"/>
        <v>6</v>
      </c>
      <c r="C314" s="1">
        <f t="shared" si="57"/>
        <v>13</v>
      </c>
      <c r="D314" s="1">
        <f t="shared" si="58"/>
        <v>18</v>
      </c>
      <c r="E314" s="1">
        <f t="shared" si="59"/>
        <v>20</v>
      </c>
      <c r="F314" s="3">
        <f t="shared" si="60"/>
        <v>1326</v>
      </c>
      <c r="G314" s="4">
        <f t="shared" si="61"/>
        <v>3.61</v>
      </c>
      <c r="H314" s="3" t="e">
        <f t="shared" si="62"/>
        <v>#VALUE!</v>
      </c>
      <c r="I314" s="1" t="b">
        <f t="shared" si="55"/>
        <v>0</v>
      </c>
      <c r="J314" s="1">
        <f>IF(Table1[[#This Row],[Rising Through Threshold]],Table1[[#This Row],[Start time]],J313)</f>
        <v>1317.5</v>
      </c>
      <c r="K314" s="1" t="str">
        <f>IF(AND(Table1[[#This Row],[Rising Through Threshold]],J313&gt;0),J314-J313,"")</f>
        <v/>
      </c>
    </row>
    <row r="315" spans="1:11" x14ac:dyDescent="0.45">
      <c r="A315" s="1" t="s">
        <v>782</v>
      </c>
      <c r="B315" s="1">
        <f t="shared" si="56"/>
        <v>6</v>
      </c>
      <c r="C315" s="1">
        <f t="shared" si="57"/>
        <v>15</v>
      </c>
      <c r="D315" s="1">
        <f t="shared" si="58"/>
        <v>20</v>
      </c>
      <c r="E315" s="1">
        <f t="shared" si="59"/>
        <v>22</v>
      </c>
      <c r="F315" s="3">
        <f t="shared" si="60"/>
        <v>1330.25</v>
      </c>
      <c r="G315" s="4">
        <f t="shared" si="61"/>
        <v>4.3899999999999997</v>
      </c>
      <c r="H315" s="3" t="e">
        <f t="shared" si="62"/>
        <v>#VALUE!</v>
      </c>
      <c r="I315" s="1" t="b">
        <f t="shared" si="55"/>
        <v>0</v>
      </c>
      <c r="J315" s="1">
        <f>IF(Table1[[#This Row],[Rising Through Threshold]],Table1[[#This Row],[Start time]],J314)</f>
        <v>1317.5</v>
      </c>
      <c r="K315" s="1" t="str">
        <f>IF(AND(Table1[[#This Row],[Rising Through Threshold]],J314&gt;0),J315-J314,"")</f>
        <v/>
      </c>
    </row>
    <row r="316" spans="1:11" x14ac:dyDescent="0.45">
      <c r="A316" s="1" t="s">
        <v>783</v>
      </c>
      <c r="B316" s="1">
        <f t="shared" si="56"/>
        <v>6</v>
      </c>
      <c r="C316" s="1">
        <f t="shared" si="57"/>
        <v>15</v>
      </c>
      <c r="D316" s="1">
        <f t="shared" si="58"/>
        <v>20</v>
      </c>
      <c r="E316" s="1">
        <f t="shared" si="59"/>
        <v>22</v>
      </c>
      <c r="F316" s="3">
        <f t="shared" si="60"/>
        <v>1334.5</v>
      </c>
      <c r="G316" s="4">
        <f t="shared" si="61"/>
        <v>5</v>
      </c>
      <c r="H316" s="3" t="e">
        <f t="shared" si="62"/>
        <v>#VALUE!</v>
      </c>
      <c r="I316" s="1" t="b">
        <f t="shared" si="55"/>
        <v>0</v>
      </c>
      <c r="J316" s="1">
        <f>IF(Table1[[#This Row],[Rising Through Threshold]],Table1[[#This Row],[Start time]],J315)</f>
        <v>1317.5</v>
      </c>
      <c r="K316" s="1" t="str">
        <f>IF(AND(Table1[[#This Row],[Rising Through Threshold]],J315&gt;0),J316-J315,"")</f>
        <v/>
      </c>
    </row>
    <row r="317" spans="1:11" x14ac:dyDescent="0.45">
      <c r="A317" s="1" t="s">
        <v>784</v>
      </c>
      <c r="B317" s="1">
        <f t="shared" si="56"/>
        <v>6</v>
      </c>
      <c r="C317" s="1">
        <f t="shared" si="57"/>
        <v>15</v>
      </c>
      <c r="D317" s="1">
        <f t="shared" si="58"/>
        <v>20</v>
      </c>
      <c r="E317" s="1">
        <f t="shared" si="59"/>
        <v>22</v>
      </c>
      <c r="F317" s="3">
        <f t="shared" si="60"/>
        <v>1338.75</v>
      </c>
      <c r="G317" s="4">
        <f t="shared" si="61"/>
        <v>4.2</v>
      </c>
      <c r="H317" s="3" t="e">
        <f t="shared" si="62"/>
        <v>#VALUE!</v>
      </c>
      <c r="I317" s="1" t="b">
        <f t="shared" si="55"/>
        <v>0</v>
      </c>
      <c r="J317" s="1">
        <f>IF(Table1[[#This Row],[Rising Through Threshold]],Table1[[#This Row],[Start time]],J316)</f>
        <v>1317.5</v>
      </c>
      <c r="K317" s="1" t="str">
        <f>IF(AND(Table1[[#This Row],[Rising Through Threshold]],J316&gt;0),J317-J316,"")</f>
        <v/>
      </c>
    </row>
    <row r="318" spans="1:11" x14ac:dyDescent="0.45">
      <c r="A318" s="1" t="s">
        <v>785</v>
      </c>
      <c r="B318" s="1">
        <f t="shared" si="56"/>
        <v>6</v>
      </c>
      <c r="C318" s="1">
        <f t="shared" si="57"/>
        <v>13</v>
      </c>
      <c r="D318" s="1">
        <f t="shared" si="58"/>
        <v>18</v>
      </c>
      <c r="E318" s="1">
        <f t="shared" si="59"/>
        <v>20</v>
      </c>
      <c r="F318" s="3">
        <f t="shared" si="60"/>
        <v>1343</v>
      </c>
      <c r="G318" s="4">
        <f t="shared" si="61"/>
        <v>3.27</v>
      </c>
      <c r="H318" s="3" t="e">
        <f t="shared" si="62"/>
        <v>#VALUE!</v>
      </c>
      <c r="I318" s="1" t="b">
        <f t="shared" si="55"/>
        <v>0</v>
      </c>
      <c r="J318" s="1">
        <f>IF(Table1[[#This Row],[Rising Through Threshold]],Table1[[#This Row],[Start time]],J317)</f>
        <v>1317.5</v>
      </c>
      <c r="K318" s="1" t="str">
        <f>IF(AND(Table1[[#This Row],[Rising Through Threshold]],J317&gt;0),J318-J317,"")</f>
        <v/>
      </c>
    </row>
    <row r="319" spans="1:11" x14ac:dyDescent="0.45">
      <c r="A319" s="1" t="s">
        <v>786</v>
      </c>
      <c r="B319" s="1">
        <f t="shared" si="56"/>
        <v>6</v>
      </c>
      <c r="C319" s="1">
        <f t="shared" si="57"/>
        <v>15</v>
      </c>
      <c r="D319" s="1">
        <f t="shared" si="58"/>
        <v>20</v>
      </c>
      <c r="E319" s="1">
        <f t="shared" si="59"/>
        <v>22</v>
      </c>
      <c r="F319" s="3">
        <f t="shared" si="60"/>
        <v>1347.25</v>
      </c>
      <c r="G319" s="4">
        <f t="shared" si="61"/>
        <v>1.39</v>
      </c>
      <c r="H319" s="3" t="e">
        <f t="shared" si="62"/>
        <v>#VALUE!</v>
      </c>
      <c r="I319" s="1" t="b">
        <f t="shared" si="55"/>
        <v>0</v>
      </c>
      <c r="J319" s="1">
        <f>IF(Table1[[#This Row],[Rising Through Threshold]],Table1[[#This Row],[Start time]],J318)</f>
        <v>1317.5</v>
      </c>
      <c r="K319" s="1" t="str">
        <f>IF(AND(Table1[[#This Row],[Rising Through Threshold]],J318&gt;0),J319-J318,"")</f>
        <v/>
      </c>
    </row>
    <row r="320" spans="1:11" x14ac:dyDescent="0.45">
      <c r="A320" s="1" t="s">
        <v>787</v>
      </c>
      <c r="B320" s="1">
        <f t="shared" si="56"/>
        <v>6</v>
      </c>
      <c r="C320" s="1">
        <f t="shared" si="57"/>
        <v>15</v>
      </c>
      <c r="D320" s="1">
        <f t="shared" si="58"/>
        <v>20</v>
      </c>
      <c r="E320" s="1">
        <f t="shared" si="59"/>
        <v>22</v>
      </c>
      <c r="F320" s="3">
        <f t="shared" si="60"/>
        <v>1351.5</v>
      </c>
      <c r="G320" s="4">
        <f t="shared" si="61"/>
        <v>0.47</v>
      </c>
      <c r="H320" s="3" t="e">
        <f t="shared" si="62"/>
        <v>#VALUE!</v>
      </c>
      <c r="I320" s="1" t="b">
        <f t="shared" si="55"/>
        <v>0</v>
      </c>
      <c r="J320" s="1">
        <f>IF(Table1[[#This Row],[Rising Through Threshold]],Table1[[#This Row],[Start time]],J319)</f>
        <v>1317.5</v>
      </c>
      <c r="K320" s="1" t="str">
        <f>IF(AND(Table1[[#This Row],[Rising Through Threshold]],J319&gt;0),J320-J319,"")</f>
        <v/>
      </c>
    </row>
    <row r="321" spans="1:11" x14ac:dyDescent="0.45">
      <c r="A321" s="1" t="s">
        <v>480</v>
      </c>
      <c r="B321" s="1">
        <f t="shared" si="56"/>
        <v>6</v>
      </c>
      <c r="C321" s="1">
        <f t="shared" si="57"/>
        <v>15</v>
      </c>
      <c r="D321" s="1">
        <f t="shared" si="58"/>
        <v>20</v>
      </c>
      <c r="E321" s="1">
        <f t="shared" si="59"/>
        <v>22</v>
      </c>
      <c r="F321" s="3">
        <f t="shared" si="60"/>
        <v>1355.75</v>
      </c>
      <c r="G321" s="4">
        <f t="shared" si="61"/>
        <v>0</v>
      </c>
      <c r="H321" s="3" t="e">
        <f t="shared" si="62"/>
        <v>#VALUE!</v>
      </c>
      <c r="I321" s="1" t="b">
        <f t="shared" si="55"/>
        <v>0</v>
      </c>
      <c r="J321" s="1">
        <f>IF(Table1[[#This Row],[Rising Through Threshold]],Table1[[#This Row],[Start time]],J320)</f>
        <v>1317.5</v>
      </c>
      <c r="K321" s="1" t="str">
        <f>IF(AND(Table1[[#This Row],[Rising Through Threshold]],J320&gt;0),J321-J320,"")</f>
        <v/>
      </c>
    </row>
    <row r="322" spans="1:11" x14ac:dyDescent="0.45">
      <c r="A322" s="1" t="s">
        <v>788</v>
      </c>
      <c r="B322" s="1">
        <f t="shared" si="56"/>
        <v>6</v>
      </c>
      <c r="C322" s="1">
        <f t="shared" si="57"/>
        <v>13</v>
      </c>
      <c r="D322" s="1">
        <f t="shared" si="58"/>
        <v>18</v>
      </c>
      <c r="E322" s="1">
        <f t="shared" si="59"/>
        <v>20</v>
      </c>
      <c r="F322" s="3">
        <f t="shared" si="60"/>
        <v>1360</v>
      </c>
      <c r="G322" s="4">
        <f t="shared" si="61"/>
        <v>0.28999999999999998</v>
      </c>
      <c r="H322" s="3" t="e">
        <f t="shared" si="62"/>
        <v>#VALUE!</v>
      </c>
      <c r="I322" s="1" t="b">
        <f t="shared" si="55"/>
        <v>0</v>
      </c>
      <c r="J322" s="1">
        <f>IF(Table1[[#This Row],[Rising Through Threshold]],Table1[[#This Row],[Start time]],J321)</f>
        <v>1317.5</v>
      </c>
      <c r="K322" s="1" t="str">
        <f>IF(AND(Table1[[#This Row],[Rising Through Threshold]],J321&gt;0),J322-J321,"")</f>
        <v/>
      </c>
    </row>
    <row r="323" spans="1:11" x14ac:dyDescent="0.45">
      <c r="A323" s="1" t="s">
        <v>789</v>
      </c>
      <c r="B323" s="1">
        <f t="shared" si="56"/>
        <v>6</v>
      </c>
      <c r="C323" s="1">
        <f t="shared" si="57"/>
        <v>15</v>
      </c>
      <c r="D323" s="1">
        <f t="shared" si="58"/>
        <v>20</v>
      </c>
      <c r="E323" s="1">
        <f t="shared" si="59"/>
        <v>22</v>
      </c>
      <c r="F323" s="3">
        <f t="shared" si="60"/>
        <v>1364.25</v>
      </c>
      <c r="G323" s="4">
        <f t="shared" si="61"/>
        <v>0.94</v>
      </c>
      <c r="H323" s="3" t="e">
        <f t="shared" si="62"/>
        <v>#VALUE!</v>
      </c>
      <c r="I323" s="1" t="b">
        <f t="shared" si="55"/>
        <v>0</v>
      </c>
      <c r="J323" s="1">
        <f>IF(Table1[[#This Row],[Rising Through Threshold]],Table1[[#This Row],[Start time]],J322)</f>
        <v>1317.5</v>
      </c>
      <c r="K323" s="1" t="str">
        <f>IF(AND(Table1[[#This Row],[Rising Through Threshold]],J322&gt;0),J323-J322,"")</f>
        <v/>
      </c>
    </row>
    <row r="324" spans="1:11" x14ac:dyDescent="0.45">
      <c r="A324" s="1" t="s">
        <v>790</v>
      </c>
      <c r="B324" s="1">
        <f t="shared" si="56"/>
        <v>6</v>
      </c>
      <c r="C324" s="1">
        <f t="shared" si="57"/>
        <v>15</v>
      </c>
      <c r="D324" s="1">
        <f t="shared" si="58"/>
        <v>20</v>
      </c>
      <c r="E324" s="1">
        <f t="shared" si="59"/>
        <v>22</v>
      </c>
      <c r="F324" s="3">
        <f t="shared" si="60"/>
        <v>1368.5</v>
      </c>
      <c r="G324" s="4">
        <f t="shared" si="61"/>
        <v>1.69</v>
      </c>
      <c r="H324" s="3" t="e">
        <f t="shared" si="62"/>
        <v>#VALUE!</v>
      </c>
      <c r="I324" s="1" t="b">
        <f t="shared" si="55"/>
        <v>0</v>
      </c>
      <c r="J324" s="1">
        <f>IF(Table1[[#This Row],[Rising Through Threshold]],Table1[[#This Row],[Start time]],J323)</f>
        <v>1317.5</v>
      </c>
      <c r="K324" s="1" t="str">
        <f>IF(AND(Table1[[#This Row],[Rising Through Threshold]],J323&gt;0),J324-J323,"")</f>
        <v/>
      </c>
    </row>
    <row r="325" spans="1:11" x14ac:dyDescent="0.45">
      <c r="A325" s="1" t="s">
        <v>791</v>
      </c>
      <c r="B325" s="1">
        <f t="shared" si="56"/>
        <v>6</v>
      </c>
      <c r="C325" s="1">
        <f t="shared" si="57"/>
        <v>15</v>
      </c>
      <c r="D325" s="1">
        <f t="shared" si="58"/>
        <v>20</v>
      </c>
      <c r="E325" s="1">
        <f t="shared" si="59"/>
        <v>22</v>
      </c>
      <c r="F325" s="3">
        <f t="shared" si="60"/>
        <v>1372.75</v>
      </c>
      <c r="G325" s="4">
        <f t="shared" si="61"/>
        <v>2.4300000000000002</v>
      </c>
      <c r="H325" s="3" t="e">
        <f t="shared" si="62"/>
        <v>#VALUE!</v>
      </c>
      <c r="I325" s="1" t="b">
        <f t="shared" si="55"/>
        <v>1</v>
      </c>
      <c r="J325" s="1">
        <f>IF(Table1[[#This Row],[Rising Through Threshold]],Table1[[#This Row],[Start time]],J324)</f>
        <v>1372.75</v>
      </c>
      <c r="K325" s="1">
        <f>IF(AND(Table1[[#This Row],[Rising Through Threshold]],J324&gt;0),J325-J324,"")</f>
        <v>55.25</v>
      </c>
    </row>
    <row r="326" spans="1:11" x14ac:dyDescent="0.45">
      <c r="A326" s="1" t="s">
        <v>792</v>
      </c>
      <c r="B326" s="1">
        <f t="shared" si="56"/>
        <v>6</v>
      </c>
      <c r="C326" s="1">
        <f t="shared" si="57"/>
        <v>13</v>
      </c>
      <c r="D326" s="1">
        <f t="shared" si="58"/>
        <v>18</v>
      </c>
      <c r="E326" s="1">
        <f t="shared" si="59"/>
        <v>20</v>
      </c>
      <c r="F326" s="3">
        <f t="shared" si="60"/>
        <v>1377</v>
      </c>
      <c r="G326" s="4">
        <f t="shared" si="61"/>
        <v>3.57</v>
      </c>
      <c r="H326" s="3" t="e">
        <f t="shared" si="62"/>
        <v>#VALUE!</v>
      </c>
      <c r="I326" s="1" t="b">
        <f t="shared" si="55"/>
        <v>0</v>
      </c>
      <c r="J326" s="1">
        <f>IF(Table1[[#This Row],[Rising Through Threshold]],Table1[[#This Row],[Start time]],J325)</f>
        <v>1372.75</v>
      </c>
      <c r="K326" s="1" t="str">
        <f>IF(AND(Table1[[#This Row],[Rising Through Threshold]],J325&gt;0),J326-J325,"")</f>
        <v/>
      </c>
    </row>
    <row r="327" spans="1:11" x14ac:dyDescent="0.45">
      <c r="A327" s="1" t="s">
        <v>484</v>
      </c>
      <c r="B327" s="1">
        <f t="shared" si="56"/>
        <v>6</v>
      </c>
      <c r="C327" s="1">
        <f t="shared" si="57"/>
        <v>15</v>
      </c>
      <c r="D327" s="1">
        <f t="shared" si="58"/>
        <v>20</v>
      </c>
      <c r="E327" s="1">
        <f t="shared" si="59"/>
        <v>22</v>
      </c>
      <c r="F327" s="3">
        <f t="shared" si="60"/>
        <v>1381.25</v>
      </c>
      <c r="G327" s="4">
        <f t="shared" si="61"/>
        <v>4.3899999999999997</v>
      </c>
      <c r="H327" s="3" t="e">
        <f t="shared" si="62"/>
        <v>#VALUE!</v>
      </c>
      <c r="I327" s="1" t="b">
        <f t="shared" si="55"/>
        <v>0</v>
      </c>
      <c r="J327" s="1">
        <f>IF(Table1[[#This Row],[Rising Through Threshold]],Table1[[#This Row],[Start time]],J326)</f>
        <v>1372.75</v>
      </c>
      <c r="K327" s="1" t="str">
        <f>IF(AND(Table1[[#This Row],[Rising Through Threshold]],J326&gt;0),J327-J326,"")</f>
        <v/>
      </c>
    </row>
    <row r="328" spans="1:11" x14ac:dyDescent="0.45">
      <c r="A328" s="1" t="s">
        <v>793</v>
      </c>
      <c r="B328" s="1">
        <f t="shared" si="56"/>
        <v>6</v>
      </c>
      <c r="C328" s="1">
        <f t="shared" si="57"/>
        <v>15</v>
      </c>
      <c r="D328" s="1">
        <f t="shared" si="58"/>
        <v>20</v>
      </c>
      <c r="E328" s="1">
        <f t="shared" si="59"/>
        <v>22</v>
      </c>
      <c r="F328" s="3">
        <f t="shared" si="60"/>
        <v>1385.5</v>
      </c>
      <c r="G328" s="4">
        <f t="shared" si="61"/>
        <v>5</v>
      </c>
      <c r="H328" s="3" t="e">
        <f t="shared" si="62"/>
        <v>#VALUE!</v>
      </c>
      <c r="I328" s="1" t="b">
        <f t="shared" si="55"/>
        <v>0</v>
      </c>
      <c r="J328" s="1">
        <f>IF(Table1[[#This Row],[Rising Through Threshold]],Table1[[#This Row],[Start time]],J327)</f>
        <v>1372.75</v>
      </c>
      <c r="K328" s="1" t="str">
        <f>IF(AND(Table1[[#This Row],[Rising Through Threshold]],J327&gt;0),J328-J327,"")</f>
        <v/>
      </c>
    </row>
    <row r="329" spans="1:11" x14ac:dyDescent="0.45">
      <c r="A329" s="1" t="s">
        <v>794</v>
      </c>
      <c r="B329" s="1">
        <f t="shared" si="56"/>
        <v>6</v>
      </c>
      <c r="C329" s="1">
        <f t="shared" si="57"/>
        <v>15</v>
      </c>
      <c r="D329" s="1">
        <f t="shared" si="58"/>
        <v>20</v>
      </c>
      <c r="E329" s="1">
        <f t="shared" si="59"/>
        <v>22</v>
      </c>
      <c r="F329" s="3">
        <f t="shared" si="60"/>
        <v>1389.75</v>
      </c>
      <c r="G329" s="4">
        <f t="shared" si="61"/>
        <v>4.24</v>
      </c>
      <c r="H329" s="3" t="e">
        <f t="shared" si="62"/>
        <v>#VALUE!</v>
      </c>
      <c r="I329" s="1" t="b">
        <f t="shared" si="55"/>
        <v>0</v>
      </c>
      <c r="J329" s="1">
        <f>IF(Table1[[#This Row],[Rising Through Threshold]],Table1[[#This Row],[Start time]],J328)</f>
        <v>1372.75</v>
      </c>
      <c r="K329" s="1" t="str">
        <f>IF(AND(Table1[[#This Row],[Rising Through Threshold]],J328&gt;0),J329-J328,"")</f>
        <v/>
      </c>
    </row>
    <row r="330" spans="1:11" x14ac:dyDescent="0.45">
      <c r="A330" s="1" t="s">
        <v>795</v>
      </c>
      <c r="B330" s="1">
        <f t="shared" si="56"/>
        <v>6</v>
      </c>
      <c r="C330" s="1">
        <f t="shared" si="57"/>
        <v>13</v>
      </c>
      <c r="D330" s="1">
        <f t="shared" si="58"/>
        <v>18</v>
      </c>
      <c r="E330" s="1">
        <f t="shared" si="59"/>
        <v>20</v>
      </c>
      <c r="F330" s="3">
        <f t="shared" si="60"/>
        <v>1394</v>
      </c>
      <c r="G330" s="4">
        <f t="shared" si="61"/>
        <v>3.29</v>
      </c>
      <c r="H330" s="3" t="e">
        <f t="shared" si="62"/>
        <v>#VALUE!</v>
      </c>
      <c r="I330" s="1" t="b">
        <f t="shared" si="55"/>
        <v>0</v>
      </c>
      <c r="J330" s="1">
        <f>IF(Table1[[#This Row],[Rising Through Threshold]],Table1[[#This Row],[Start time]],J329)</f>
        <v>1372.75</v>
      </c>
      <c r="K330" s="1" t="str">
        <f>IF(AND(Table1[[#This Row],[Rising Through Threshold]],J329&gt;0),J330-J329,"")</f>
        <v/>
      </c>
    </row>
    <row r="331" spans="1:11" x14ac:dyDescent="0.45">
      <c r="A331" s="1" t="s">
        <v>796</v>
      </c>
      <c r="B331" s="1">
        <f t="shared" si="56"/>
        <v>6</v>
      </c>
      <c r="C331" s="1">
        <f t="shared" si="57"/>
        <v>15</v>
      </c>
      <c r="D331" s="1">
        <f t="shared" si="58"/>
        <v>20</v>
      </c>
      <c r="E331" s="1">
        <f t="shared" si="59"/>
        <v>22</v>
      </c>
      <c r="F331" s="3">
        <f t="shared" si="60"/>
        <v>1398.25</v>
      </c>
      <c r="G331" s="4">
        <f t="shared" si="61"/>
        <v>2.35</v>
      </c>
      <c r="H331" s="3" t="e">
        <f t="shared" si="62"/>
        <v>#VALUE!</v>
      </c>
      <c r="I331" s="1" t="b">
        <f t="shared" si="55"/>
        <v>0</v>
      </c>
      <c r="J331" s="1">
        <f>IF(Table1[[#This Row],[Rising Through Threshold]],Table1[[#This Row],[Start time]],J330)</f>
        <v>1372.75</v>
      </c>
      <c r="K331" s="1" t="str">
        <f>IF(AND(Table1[[#This Row],[Rising Through Threshold]],J330&gt;0),J331-J330,"")</f>
        <v/>
      </c>
    </row>
    <row r="332" spans="1:11" x14ac:dyDescent="0.45">
      <c r="A332" s="1" t="s">
        <v>797</v>
      </c>
      <c r="B332" s="1">
        <f t="shared" si="56"/>
        <v>6</v>
      </c>
      <c r="C332" s="1">
        <f t="shared" si="57"/>
        <v>15</v>
      </c>
      <c r="D332" s="1">
        <f t="shared" si="58"/>
        <v>20</v>
      </c>
      <c r="E332" s="1">
        <f t="shared" si="59"/>
        <v>22</v>
      </c>
      <c r="F332" s="3">
        <f t="shared" si="60"/>
        <v>1402.5</v>
      </c>
      <c r="G332" s="4">
        <f t="shared" si="61"/>
        <v>1.39</v>
      </c>
      <c r="H332" s="3" t="e">
        <f t="shared" si="62"/>
        <v>#VALUE!</v>
      </c>
      <c r="I332" s="1" t="b">
        <f t="shared" si="55"/>
        <v>0</v>
      </c>
      <c r="J332" s="1">
        <f>IF(Table1[[#This Row],[Rising Through Threshold]],Table1[[#This Row],[Start time]],J331)</f>
        <v>1372.75</v>
      </c>
      <c r="K332" s="1" t="str">
        <f>IF(AND(Table1[[#This Row],[Rising Through Threshold]],J331&gt;0),J332-J331,"")</f>
        <v/>
      </c>
    </row>
    <row r="333" spans="1:11" x14ac:dyDescent="0.45">
      <c r="A333" s="1" t="s">
        <v>798</v>
      </c>
      <c r="B333" s="1">
        <f t="shared" si="56"/>
        <v>6</v>
      </c>
      <c r="C333" s="1">
        <f t="shared" si="57"/>
        <v>15</v>
      </c>
      <c r="D333" s="1">
        <f t="shared" si="58"/>
        <v>20</v>
      </c>
      <c r="E333" s="1">
        <f t="shared" si="59"/>
        <v>22</v>
      </c>
      <c r="F333" s="3">
        <f t="shared" si="60"/>
        <v>1406.75</v>
      </c>
      <c r="G333" s="4">
        <f t="shared" si="61"/>
        <v>0</v>
      </c>
      <c r="H333" s="3" t="e">
        <f t="shared" si="62"/>
        <v>#VALUE!</v>
      </c>
      <c r="I333" s="1" t="b">
        <f t="shared" si="55"/>
        <v>0</v>
      </c>
      <c r="J333" s="1">
        <f>IF(Table1[[#This Row],[Rising Through Threshold]],Table1[[#This Row],[Start time]],J332)</f>
        <v>1372.75</v>
      </c>
      <c r="K333" s="1" t="str">
        <f>IF(AND(Table1[[#This Row],[Rising Through Threshold]],J332&gt;0),J333-J332,"")</f>
        <v/>
      </c>
    </row>
    <row r="334" spans="1:11" x14ac:dyDescent="0.45">
      <c r="A334" s="1" t="s">
        <v>799</v>
      </c>
      <c r="B334" s="1">
        <f t="shared" si="56"/>
        <v>6</v>
      </c>
      <c r="C334" s="1">
        <f t="shared" si="57"/>
        <v>13</v>
      </c>
      <c r="D334" s="1">
        <f t="shared" si="58"/>
        <v>18</v>
      </c>
      <c r="E334" s="1">
        <f t="shared" si="59"/>
        <v>20</v>
      </c>
      <c r="F334" s="3">
        <f t="shared" si="60"/>
        <v>1411</v>
      </c>
      <c r="G334" s="4">
        <f t="shared" si="61"/>
        <v>0</v>
      </c>
      <c r="H334" s="3" t="e">
        <f t="shared" si="62"/>
        <v>#VALUE!</v>
      </c>
      <c r="I334" s="1" t="b">
        <f t="shared" si="55"/>
        <v>0</v>
      </c>
      <c r="J334" s="1">
        <f>IF(Table1[[#This Row],[Rising Through Threshold]],Table1[[#This Row],[Start time]],J333)</f>
        <v>1372.75</v>
      </c>
      <c r="K334" s="1" t="str">
        <f>IF(AND(Table1[[#This Row],[Rising Through Threshold]],J333&gt;0),J334-J333,"")</f>
        <v/>
      </c>
    </row>
    <row r="335" spans="1:11" x14ac:dyDescent="0.45">
      <c r="A335" s="1" t="s">
        <v>800</v>
      </c>
      <c r="B335" s="1">
        <f t="shared" si="56"/>
        <v>6</v>
      </c>
      <c r="C335" s="1">
        <f t="shared" si="57"/>
        <v>15</v>
      </c>
      <c r="D335" s="1">
        <f t="shared" si="58"/>
        <v>20</v>
      </c>
      <c r="E335" s="1">
        <f t="shared" si="59"/>
        <v>22</v>
      </c>
      <c r="F335" s="3">
        <f t="shared" si="60"/>
        <v>1415.25</v>
      </c>
      <c r="G335" s="4">
        <f t="shared" si="61"/>
        <v>0.27</v>
      </c>
      <c r="H335" s="3" t="e">
        <f t="shared" si="62"/>
        <v>#VALUE!</v>
      </c>
      <c r="I335" s="1" t="b">
        <f t="shared" si="55"/>
        <v>0</v>
      </c>
      <c r="J335" s="1">
        <f>IF(Table1[[#This Row],[Rising Through Threshold]],Table1[[#This Row],[Start time]],J334)</f>
        <v>1372.75</v>
      </c>
      <c r="K335" s="1" t="str">
        <f>IF(AND(Table1[[#This Row],[Rising Through Threshold]],J334&gt;0),J335-J334,"")</f>
        <v/>
      </c>
    </row>
    <row r="336" spans="1:11" x14ac:dyDescent="0.45">
      <c r="A336" s="1" t="s">
        <v>801</v>
      </c>
      <c r="B336" s="1">
        <f t="shared" si="56"/>
        <v>6</v>
      </c>
      <c r="C336" s="1">
        <f t="shared" si="57"/>
        <v>15</v>
      </c>
      <c r="D336" s="1">
        <f t="shared" si="58"/>
        <v>20</v>
      </c>
      <c r="E336" s="1">
        <f t="shared" si="59"/>
        <v>22</v>
      </c>
      <c r="F336" s="3">
        <f t="shared" si="60"/>
        <v>1419.5</v>
      </c>
      <c r="G336" s="4">
        <f t="shared" si="61"/>
        <v>1.63</v>
      </c>
      <c r="H336" s="3" t="e">
        <f t="shared" si="62"/>
        <v>#VALUE!</v>
      </c>
      <c r="I336" s="1" t="b">
        <f t="shared" si="55"/>
        <v>0</v>
      </c>
      <c r="J336" s="1">
        <f>IF(Table1[[#This Row],[Rising Through Threshold]],Table1[[#This Row],[Start time]],J335)</f>
        <v>1372.75</v>
      </c>
      <c r="K336" s="1" t="str">
        <f>IF(AND(Table1[[#This Row],[Rising Through Threshold]],J335&gt;0),J336-J335,"")</f>
        <v/>
      </c>
    </row>
    <row r="337" spans="1:11" x14ac:dyDescent="0.45">
      <c r="A337" s="1" t="s">
        <v>802</v>
      </c>
      <c r="B337" s="1">
        <f t="shared" si="56"/>
        <v>6</v>
      </c>
      <c r="C337" s="1">
        <f t="shared" si="57"/>
        <v>15</v>
      </c>
      <c r="D337" s="1">
        <f t="shared" si="58"/>
        <v>20</v>
      </c>
      <c r="E337" s="1">
        <f t="shared" si="59"/>
        <v>22</v>
      </c>
      <c r="F337" s="3">
        <f t="shared" si="60"/>
        <v>1423.75</v>
      </c>
      <c r="G337" s="4">
        <f t="shared" si="61"/>
        <v>2.37</v>
      </c>
      <c r="H337" s="3" t="e">
        <f t="shared" si="62"/>
        <v>#VALUE!</v>
      </c>
      <c r="I337" s="1" t="b">
        <f t="shared" si="55"/>
        <v>0</v>
      </c>
      <c r="J337" s="1">
        <f>IF(Table1[[#This Row],[Rising Through Threshold]],Table1[[#This Row],[Start time]],J336)</f>
        <v>1372.75</v>
      </c>
      <c r="K337" s="1" t="str">
        <f>IF(AND(Table1[[#This Row],[Rising Through Threshold]],J336&gt;0),J337-J336,"")</f>
        <v/>
      </c>
    </row>
    <row r="338" spans="1:11" x14ac:dyDescent="0.45">
      <c r="A338" s="1" t="s">
        <v>803</v>
      </c>
      <c r="B338" s="1">
        <f t="shared" si="56"/>
        <v>6</v>
      </c>
      <c r="C338" s="1">
        <f t="shared" si="57"/>
        <v>13</v>
      </c>
      <c r="D338" s="1">
        <f t="shared" si="58"/>
        <v>18</v>
      </c>
      <c r="E338" s="1">
        <f t="shared" si="59"/>
        <v>20</v>
      </c>
      <c r="F338" s="3">
        <f t="shared" si="60"/>
        <v>1428</v>
      </c>
      <c r="G338" s="4">
        <f t="shared" si="61"/>
        <v>3.06</v>
      </c>
      <c r="H338" s="3" t="e">
        <f t="shared" si="62"/>
        <v>#VALUE!</v>
      </c>
      <c r="I338" s="1" t="b">
        <f t="shared" si="55"/>
        <v>1</v>
      </c>
      <c r="J338" s="1">
        <f>IF(Table1[[#This Row],[Rising Through Threshold]],Table1[[#This Row],[Start time]],J337)</f>
        <v>1428</v>
      </c>
      <c r="K338" s="1">
        <f>IF(AND(Table1[[#This Row],[Rising Through Threshold]],J337&gt;0),J338-J337,"")</f>
        <v>55.25</v>
      </c>
    </row>
    <row r="339" spans="1:11" x14ac:dyDescent="0.45">
      <c r="A339" s="1" t="s">
        <v>804</v>
      </c>
      <c r="B339" s="1">
        <f t="shared" si="56"/>
        <v>6</v>
      </c>
      <c r="C339" s="1">
        <f t="shared" si="57"/>
        <v>15</v>
      </c>
      <c r="D339" s="1">
        <f t="shared" si="58"/>
        <v>20</v>
      </c>
      <c r="E339" s="1">
        <f t="shared" si="59"/>
        <v>22</v>
      </c>
      <c r="F339" s="3">
        <f t="shared" si="60"/>
        <v>1432.25</v>
      </c>
      <c r="G339" s="4">
        <f t="shared" si="61"/>
        <v>4.25</v>
      </c>
      <c r="H339" s="3" t="e">
        <f t="shared" si="62"/>
        <v>#VALUE!</v>
      </c>
      <c r="I339" s="1" t="b">
        <f t="shared" si="55"/>
        <v>0</v>
      </c>
      <c r="J339" s="1">
        <f>IF(Table1[[#This Row],[Rising Through Threshold]],Table1[[#This Row],[Start time]],J338)</f>
        <v>1428</v>
      </c>
      <c r="K339" s="1" t="str">
        <f>IF(AND(Table1[[#This Row],[Rising Through Threshold]],J338&gt;0),J339-J338,"")</f>
        <v/>
      </c>
    </row>
    <row r="340" spans="1:11" x14ac:dyDescent="0.45">
      <c r="A340" s="1" t="s">
        <v>805</v>
      </c>
      <c r="B340" s="1">
        <f t="shared" si="56"/>
        <v>6</v>
      </c>
      <c r="C340" s="1">
        <f t="shared" si="57"/>
        <v>15</v>
      </c>
      <c r="D340" s="1">
        <f t="shared" si="58"/>
        <v>20</v>
      </c>
      <c r="E340" s="1">
        <f t="shared" si="59"/>
        <v>22</v>
      </c>
      <c r="F340" s="3">
        <f t="shared" si="60"/>
        <v>1436.5</v>
      </c>
      <c r="G340" s="4">
        <f t="shared" si="61"/>
        <v>5</v>
      </c>
      <c r="H340" s="3" t="e">
        <f t="shared" si="62"/>
        <v>#VALUE!</v>
      </c>
      <c r="I340" s="1" t="b">
        <f t="shared" si="55"/>
        <v>0</v>
      </c>
      <c r="J340" s="1">
        <f>IF(Table1[[#This Row],[Rising Through Threshold]],Table1[[#This Row],[Start time]],J339)</f>
        <v>1428</v>
      </c>
      <c r="K340" s="1" t="str">
        <f>IF(AND(Table1[[#This Row],[Rising Through Threshold]],J339&gt;0),J340-J339,"")</f>
        <v/>
      </c>
    </row>
    <row r="341" spans="1:11" x14ac:dyDescent="0.45">
      <c r="A341" s="1" t="s">
        <v>806</v>
      </c>
      <c r="B341" s="1">
        <f t="shared" si="56"/>
        <v>6</v>
      </c>
      <c r="C341" s="1">
        <f t="shared" si="57"/>
        <v>15</v>
      </c>
      <c r="D341" s="1">
        <f t="shared" si="58"/>
        <v>20</v>
      </c>
      <c r="E341" s="1">
        <f t="shared" si="59"/>
        <v>22</v>
      </c>
      <c r="F341" s="3">
        <f t="shared" si="60"/>
        <v>1440.75</v>
      </c>
      <c r="G341" s="4">
        <f t="shared" si="61"/>
        <v>5</v>
      </c>
      <c r="H341" s="3" t="e">
        <f t="shared" si="62"/>
        <v>#VALUE!</v>
      </c>
      <c r="I341" s="1" t="b">
        <f t="shared" si="55"/>
        <v>0</v>
      </c>
      <c r="J341" s="1">
        <f>IF(Table1[[#This Row],[Rising Through Threshold]],Table1[[#This Row],[Start time]],J340)</f>
        <v>1428</v>
      </c>
      <c r="K341" s="1" t="str">
        <f>IF(AND(Table1[[#This Row],[Rising Through Threshold]],J340&gt;0),J341-J340,"")</f>
        <v/>
      </c>
    </row>
    <row r="342" spans="1:11" x14ac:dyDescent="0.45">
      <c r="A342" s="1" t="s">
        <v>807</v>
      </c>
      <c r="B342" s="1">
        <f t="shared" si="56"/>
        <v>6</v>
      </c>
      <c r="C342" s="1">
        <f t="shared" si="57"/>
        <v>13</v>
      </c>
      <c r="D342" s="1">
        <f t="shared" si="58"/>
        <v>18</v>
      </c>
      <c r="E342" s="1">
        <f t="shared" si="59"/>
        <v>20</v>
      </c>
      <c r="F342" s="3">
        <f t="shared" si="60"/>
        <v>1445</v>
      </c>
      <c r="G342" s="4">
        <f t="shared" si="61"/>
        <v>4.3099999999999996</v>
      </c>
      <c r="H342" s="3" t="e">
        <f t="shared" si="62"/>
        <v>#VALUE!</v>
      </c>
      <c r="I342" s="1" t="b">
        <f t="shared" si="55"/>
        <v>0</v>
      </c>
      <c r="J342" s="1">
        <f>IF(Table1[[#This Row],[Rising Through Threshold]],Table1[[#This Row],[Start time]],J341)</f>
        <v>1428</v>
      </c>
      <c r="K342" s="1" t="str">
        <f>IF(AND(Table1[[#This Row],[Rising Through Threshold]],J341&gt;0),J342-J341,"")</f>
        <v/>
      </c>
    </row>
    <row r="343" spans="1:11" x14ac:dyDescent="0.45">
      <c r="A343" s="1" t="s">
        <v>808</v>
      </c>
      <c r="B343" s="1">
        <f t="shared" si="56"/>
        <v>6</v>
      </c>
      <c r="C343" s="1">
        <f t="shared" si="57"/>
        <v>15</v>
      </c>
      <c r="D343" s="1">
        <f t="shared" si="58"/>
        <v>20</v>
      </c>
      <c r="E343" s="1">
        <f t="shared" si="59"/>
        <v>22</v>
      </c>
      <c r="F343" s="3">
        <f t="shared" si="60"/>
        <v>1449.25</v>
      </c>
      <c r="G343" s="4">
        <f t="shared" si="61"/>
        <v>2.4900000000000002</v>
      </c>
      <c r="H343" s="3" t="e">
        <f t="shared" si="62"/>
        <v>#VALUE!</v>
      </c>
      <c r="I343" s="1" t="b">
        <f t="shared" si="55"/>
        <v>0</v>
      </c>
      <c r="J343" s="1">
        <f>IF(Table1[[#This Row],[Rising Through Threshold]],Table1[[#This Row],[Start time]],J342)</f>
        <v>1428</v>
      </c>
      <c r="K343" s="1" t="str">
        <f>IF(AND(Table1[[#This Row],[Rising Through Threshold]],J342&gt;0),J343-J342,"")</f>
        <v/>
      </c>
    </row>
    <row r="344" spans="1:11" x14ac:dyDescent="0.45">
      <c r="A344" s="1" t="s">
        <v>809</v>
      </c>
      <c r="B344" s="1">
        <f t="shared" si="56"/>
        <v>6</v>
      </c>
      <c r="C344" s="1">
        <f t="shared" si="57"/>
        <v>15</v>
      </c>
      <c r="D344" s="1">
        <f t="shared" si="58"/>
        <v>20</v>
      </c>
      <c r="E344" s="1">
        <f t="shared" si="59"/>
        <v>22</v>
      </c>
      <c r="F344" s="3">
        <f t="shared" si="60"/>
        <v>1453.5</v>
      </c>
      <c r="G344" s="4">
        <f t="shared" si="61"/>
        <v>1.55</v>
      </c>
      <c r="H344" s="3" t="e">
        <f t="shared" si="62"/>
        <v>#VALUE!</v>
      </c>
      <c r="I344" s="1" t="b">
        <f t="shared" si="55"/>
        <v>0</v>
      </c>
      <c r="J344" s="1">
        <f>IF(Table1[[#This Row],[Rising Through Threshold]],Table1[[#This Row],[Start time]],J343)</f>
        <v>1428</v>
      </c>
      <c r="K344" s="1" t="str">
        <f>IF(AND(Table1[[#This Row],[Rising Through Threshold]],J343&gt;0),J344-J343,"")</f>
        <v/>
      </c>
    </row>
    <row r="345" spans="1:11" x14ac:dyDescent="0.45">
      <c r="A345" s="1" t="s">
        <v>810</v>
      </c>
      <c r="B345" s="1">
        <f t="shared" si="56"/>
        <v>6</v>
      </c>
      <c r="C345" s="1">
        <f t="shared" si="57"/>
        <v>15</v>
      </c>
      <c r="D345" s="1">
        <f t="shared" si="58"/>
        <v>20</v>
      </c>
      <c r="E345" s="1">
        <f t="shared" si="59"/>
        <v>22</v>
      </c>
      <c r="F345" s="3">
        <f t="shared" si="60"/>
        <v>1457.75</v>
      </c>
      <c r="G345" s="4">
        <f t="shared" si="61"/>
        <v>0.61</v>
      </c>
      <c r="H345" s="3" t="e">
        <f t="shared" si="62"/>
        <v>#VALUE!</v>
      </c>
      <c r="I345" s="1" t="b">
        <f t="shared" si="55"/>
        <v>0</v>
      </c>
      <c r="J345" s="1">
        <f>IF(Table1[[#This Row],[Rising Through Threshold]],Table1[[#This Row],[Start time]],J344)</f>
        <v>1428</v>
      </c>
      <c r="K345" s="1" t="str">
        <f>IF(AND(Table1[[#This Row],[Rising Through Threshold]],J344&gt;0),J345-J344,"")</f>
        <v/>
      </c>
    </row>
    <row r="346" spans="1:11" x14ac:dyDescent="0.45">
      <c r="A346" s="1" t="s">
        <v>811</v>
      </c>
      <c r="B346" s="1">
        <f t="shared" si="56"/>
        <v>6</v>
      </c>
      <c r="C346" s="1">
        <f t="shared" si="57"/>
        <v>13</v>
      </c>
      <c r="D346" s="1">
        <f t="shared" si="58"/>
        <v>18</v>
      </c>
      <c r="E346" s="1">
        <f t="shared" si="59"/>
        <v>20</v>
      </c>
      <c r="F346" s="3">
        <f t="shared" si="60"/>
        <v>1462</v>
      </c>
      <c r="G346" s="4">
        <f t="shared" si="61"/>
        <v>0</v>
      </c>
      <c r="H346" s="3" t="e">
        <f t="shared" si="62"/>
        <v>#VALUE!</v>
      </c>
      <c r="I346" s="1" t="b">
        <f t="shared" si="55"/>
        <v>0</v>
      </c>
      <c r="J346" s="1">
        <f>IF(Table1[[#This Row],[Rising Through Threshold]],Table1[[#This Row],[Start time]],J345)</f>
        <v>1428</v>
      </c>
      <c r="K346" s="1" t="str">
        <f>IF(AND(Table1[[#This Row],[Rising Through Threshold]],J345&gt;0),J346-J345,"")</f>
        <v/>
      </c>
    </row>
    <row r="347" spans="1:11" x14ac:dyDescent="0.45">
      <c r="A347" s="1" t="s">
        <v>812</v>
      </c>
      <c r="B347" s="1">
        <f t="shared" si="56"/>
        <v>6</v>
      </c>
      <c r="C347" s="1">
        <f t="shared" si="57"/>
        <v>15</v>
      </c>
      <c r="D347" s="1">
        <f t="shared" si="58"/>
        <v>20</v>
      </c>
      <c r="E347" s="1">
        <f t="shared" si="59"/>
        <v>22</v>
      </c>
      <c r="F347" s="3">
        <f t="shared" si="60"/>
        <v>1466.25</v>
      </c>
      <c r="G347" s="4">
        <f t="shared" si="61"/>
        <v>0.24</v>
      </c>
      <c r="H347" s="3" t="e">
        <f t="shared" si="62"/>
        <v>#VALUE!</v>
      </c>
      <c r="I347" s="1" t="b">
        <f t="shared" si="55"/>
        <v>0</v>
      </c>
      <c r="J347" s="1">
        <f>IF(Table1[[#This Row],[Rising Through Threshold]],Table1[[#This Row],[Start time]],J346)</f>
        <v>1428</v>
      </c>
      <c r="K347" s="1" t="str">
        <f>IF(AND(Table1[[#This Row],[Rising Through Threshold]],J346&gt;0),J347-J346,"")</f>
        <v/>
      </c>
    </row>
    <row r="348" spans="1:11" x14ac:dyDescent="0.45">
      <c r="A348" s="1" t="s">
        <v>813</v>
      </c>
      <c r="B348" s="1">
        <f t="shared" si="56"/>
        <v>6</v>
      </c>
      <c r="C348" s="1">
        <f t="shared" si="57"/>
        <v>15</v>
      </c>
      <c r="D348" s="1">
        <f t="shared" si="58"/>
        <v>20</v>
      </c>
      <c r="E348" s="1">
        <f t="shared" si="59"/>
        <v>22</v>
      </c>
      <c r="F348" s="3">
        <f t="shared" si="60"/>
        <v>1470.5</v>
      </c>
      <c r="G348" s="4">
        <f t="shared" si="61"/>
        <v>0.86</v>
      </c>
      <c r="H348" s="3" t="e">
        <f t="shared" si="62"/>
        <v>#VALUE!</v>
      </c>
      <c r="I348" s="1" t="b">
        <f t="shared" si="55"/>
        <v>0</v>
      </c>
      <c r="J348" s="1">
        <f>IF(Table1[[#This Row],[Rising Through Threshold]],Table1[[#This Row],[Start time]],J347)</f>
        <v>1428</v>
      </c>
      <c r="K348" s="1" t="str">
        <f>IF(AND(Table1[[#This Row],[Rising Through Threshold]],J347&gt;0),J348-J347,"")</f>
        <v/>
      </c>
    </row>
    <row r="349" spans="1:11" x14ac:dyDescent="0.45">
      <c r="A349" s="1" t="s">
        <v>814</v>
      </c>
      <c r="B349" s="1">
        <f t="shared" si="56"/>
        <v>6</v>
      </c>
      <c r="C349" s="1">
        <f t="shared" si="57"/>
        <v>15</v>
      </c>
      <c r="D349" s="1">
        <f t="shared" si="58"/>
        <v>20</v>
      </c>
      <c r="E349" s="1">
        <f t="shared" si="59"/>
        <v>22</v>
      </c>
      <c r="F349" s="3">
        <f t="shared" si="60"/>
        <v>1474.75</v>
      </c>
      <c r="G349" s="4">
        <f t="shared" si="61"/>
        <v>1.55</v>
      </c>
      <c r="H349" s="3" t="e">
        <f t="shared" si="62"/>
        <v>#VALUE!</v>
      </c>
      <c r="I349" s="1" t="b">
        <f t="shared" si="55"/>
        <v>0</v>
      </c>
      <c r="J349" s="1">
        <f>IF(Table1[[#This Row],[Rising Through Threshold]],Table1[[#This Row],[Start time]],J348)</f>
        <v>1428</v>
      </c>
      <c r="K349" s="1" t="str">
        <f>IF(AND(Table1[[#This Row],[Rising Through Threshold]],J348&gt;0),J349-J348,"")</f>
        <v/>
      </c>
    </row>
    <row r="350" spans="1:11" x14ac:dyDescent="0.45">
      <c r="A350" s="1" t="s">
        <v>815</v>
      </c>
      <c r="B350" s="1">
        <f t="shared" si="56"/>
        <v>6</v>
      </c>
      <c r="C350" s="1">
        <f t="shared" si="57"/>
        <v>13</v>
      </c>
      <c r="D350" s="1">
        <f t="shared" si="58"/>
        <v>18</v>
      </c>
      <c r="E350" s="1">
        <f t="shared" si="59"/>
        <v>20</v>
      </c>
      <c r="F350" s="3">
        <f t="shared" si="60"/>
        <v>1479</v>
      </c>
      <c r="G350" s="4">
        <f t="shared" si="61"/>
        <v>3.04</v>
      </c>
      <c r="H350" s="3" t="e">
        <f t="shared" si="62"/>
        <v>#VALUE!</v>
      </c>
      <c r="I350" s="1" t="b">
        <f t="shared" si="55"/>
        <v>1</v>
      </c>
      <c r="J350" s="1">
        <f>IF(Table1[[#This Row],[Rising Through Threshold]],Table1[[#This Row],[Start time]],J349)</f>
        <v>1479</v>
      </c>
      <c r="K350" s="1">
        <f>IF(AND(Table1[[#This Row],[Rising Through Threshold]],J349&gt;0),J350-J349,"")</f>
        <v>51</v>
      </c>
    </row>
    <row r="351" spans="1:11" x14ac:dyDescent="0.45">
      <c r="A351" s="1" t="s">
        <v>816</v>
      </c>
      <c r="B351" s="1">
        <f t="shared" si="56"/>
        <v>6</v>
      </c>
      <c r="C351" s="1">
        <f t="shared" si="57"/>
        <v>15</v>
      </c>
      <c r="D351" s="1">
        <f t="shared" si="58"/>
        <v>20</v>
      </c>
      <c r="E351" s="1">
        <f t="shared" si="59"/>
        <v>22</v>
      </c>
      <c r="F351" s="3">
        <f t="shared" si="60"/>
        <v>1483.25</v>
      </c>
      <c r="G351" s="4">
        <f t="shared" si="61"/>
        <v>3.51</v>
      </c>
      <c r="H351" s="3" t="e">
        <f t="shared" si="62"/>
        <v>#VALUE!</v>
      </c>
      <c r="I351" s="1" t="b">
        <f t="shared" si="55"/>
        <v>0</v>
      </c>
      <c r="J351" s="1">
        <f>IF(Table1[[#This Row],[Rising Through Threshold]],Table1[[#This Row],[Start time]],J350)</f>
        <v>1479</v>
      </c>
      <c r="K351" s="1" t="str">
        <f>IF(AND(Table1[[#This Row],[Rising Through Threshold]],J350&gt;0),J351-J350,"")</f>
        <v/>
      </c>
    </row>
    <row r="352" spans="1:11" x14ac:dyDescent="0.45">
      <c r="A352" s="1" t="s">
        <v>817</v>
      </c>
      <c r="B352" s="1">
        <f t="shared" si="56"/>
        <v>6</v>
      </c>
      <c r="C352" s="1">
        <f t="shared" si="57"/>
        <v>15</v>
      </c>
      <c r="D352" s="1">
        <f t="shared" si="58"/>
        <v>20</v>
      </c>
      <c r="E352" s="1">
        <f t="shared" si="59"/>
        <v>22</v>
      </c>
      <c r="F352" s="3">
        <f t="shared" si="60"/>
        <v>1487.5</v>
      </c>
      <c r="G352" s="4">
        <f t="shared" si="61"/>
        <v>4.22</v>
      </c>
      <c r="H352" s="3" t="e">
        <f t="shared" si="62"/>
        <v>#VALUE!</v>
      </c>
      <c r="I352" s="1" t="b">
        <f t="shared" si="55"/>
        <v>0</v>
      </c>
      <c r="J352" s="1">
        <f>IF(Table1[[#This Row],[Rising Through Threshold]],Table1[[#This Row],[Start time]],J351)</f>
        <v>1479</v>
      </c>
      <c r="K352" s="1" t="str">
        <f>IF(AND(Table1[[#This Row],[Rising Through Threshold]],J351&gt;0),J352-J351,"")</f>
        <v/>
      </c>
    </row>
    <row r="353" spans="1:11" x14ac:dyDescent="0.45">
      <c r="A353" s="1" t="s">
        <v>818</v>
      </c>
      <c r="B353" s="1">
        <f t="shared" si="56"/>
        <v>6</v>
      </c>
      <c r="C353" s="1">
        <f t="shared" si="57"/>
        <v>15</v>
      </c>
      <c r="D353" s="1">
        <f t="shared" si="58"/>
        <v>20</v>
      </c>
      <c r="E353" s="1">
        <f t="shared" si="59"/>
        <v>22</v>
      </c>
      <c r="F353" s="3">
        <f t="shared" si="60"/>
        <v>1491.75</v>
      </c>
      <c r="G353" s="4">
        <f t="shared" si="61"/>
        <v>5</v>
      </c>
      <c r="H353" s="3" t="e">
        <f t="shared" si="62"/>
        <v>#VALUE!</v>
      </c>
      <c r="I353" s="1" t="b">
        <f t="shared" si="55"/>
        <v>0</v>
      </c>
      <c r="J353" s="1">
        <f>IF(Table1[[#This Row],[Rising Through Threshold]],Table1[[#This Row],[Start time]],J352)</f>
        <v>1479</v>
      </c>
      <c r="K353" s="1" t="str">
        <f>IF(AND(Table1[[#This Row],[Rising Through Threshold]],J352&gt;0),J353-J352,"")</f>
        <v/>
      </c>
    </row>
    <row r="354" spans="1:11" x14ac:dyDescent="0.45">
      <c r="A354" s="1" t="s">
        <v>819</v>
      </c>
      <c r="B354" s="1">
        <f t="shared" si="56"/>
        <v>6</v>
      </c>
      <c r="C354" s="1">
        <f t="shared" si="57"/>
        <v>13</v>
      </c>
      <c r="D354" s="1">
        <f t="shared" si="58"/>
        <v>18</v>
      </c>
      <c r="E354" s="1">
        <f t="shared" si="59"/>
        <v>20</v>
      </c>
      <c r="F354" s="3">
        <f t="shared" si="60"/>
        <v>1496</v>
      </c>
      <c r="G354" s="4">
        <f t="shared" si="61"/>
        <v>4.3899999999999997</v>
      </c>
      <c r="H354" s="3" t="e">
        <f t="shared" si="62"/>
        <v>#VALUE!</v>
      </c>
      <c r="I354" s="1" t="b">
        <f t="shared" si="55"/>
        <v>0</v>
      </c>
      <c r="J354" s="1">
        <f>IF(Table1[[#This Row],[Rising Through Threshold]],Table1[[#This Row],[Start time]],J353)</f>
        <v>1479</v>
      </c>
      <c r="K354" s="1" t="str">
        <f>IF(AND(Table1[[#This Row],[Rising Through Threshold]],J353&gt;0),J354-J353,"")</f>
        <v/>
      </c>
    </row>
    <row r="355" spans="1:11" x14ac:dyDescent="0.45">
      <c r="A355" s="1" t="s">
        <v>820</v>
      </c>
      <c r="B355" s="1">
        <f t="shared" si="56"/>
        <v>6</v>
      </c>
      <c r="C355" s="1">
        <f t="shared" si="57"/>
        <v>15</v>
      </c>
      <c r="D355" s="1">
        <f t="shared" si="58"/>
        <v>20</v>
      </c>
      <c r="E355" s="1">
        <f t="shared" si="59"/>
        <v>22</v>
      </c>
      <c r="F355" s="3">
        <f t="shared" si="60"/>
        <v>1500.25</v>
      </c>
      <c r="G355" s="4">
        <f t="shared" si="61"/>
        <v>3.45</v>
      </c>
      <c r="H355" s="3" t="e">
        <f t="shared" si="62"/>
        <v>#VALUE!</v>
      </c>
      <c r="I355" s="1" t="b">
        <f t="shared" si="55"/>
        <v>0</v>
      </c>
      <c r="J355" s="1">
        <f>IF(Table1[[#This Row],[Rising Through Threshold]],Table1[[#This Row],[Start time]],J354)</f>
        <v>1479</v>
      </c>
      <c r="K355" s="1" t="str">
        <f>IF(AND(Table1[[#This Row],[Rising Through Threshold]],J354&gt;0),J355-J354,"")</f>
        <v/>
      </c>
    </row>
    <row r="356" spans="1:11" x14ac:dyDescent="0.45">
      <c r="A356" s="1" t="s">
        <v>821</v>
      </c>
      <c r="B356" s="1">
        <f t="shared" si="56"/>
        <v>6</v>
      </c>
      <c r="C356" s="1">
        <f t="shared" si="57"/>
        <v>15</v>
      </c>
      <c r="D356" s="1">
        <f t="shared" si="58"/>
        <v>20</v>
      </c>
      <c r="E356" s="1">
        <f t="shared" si="59"/>
        <v>22</v>
      </c>
      <c r="F356" s="3">
        <f t="shared" si="60"/>
        <v>1504.5</v>
      </c>
      <c r="G356" s="4">
        <f t="shared" si="61"/>
        <v>1.55</v>
      </c>
      <c r="H356" s="3" t="e">
        <f t="shared" si="62"/>
        <v>#VALUE!</v>
      </c>
      <c r="I356" s="1" t="b">
        <f t="shared" si="55"/>
        <v>0</v>
      </c>
      <c r="J356" s="1">
        <f>IF(Table1[[#This Row],[Rising Through Threshold]],Table1[[#This Row],[Start time]],J355)</f>
        <v>1479</v>
      </c>
      <c r="K356" s="1" t="str">
        <f>IF(AND(Table1[[#This Row],[Rising Through Threshold]],J355&gt;0),J356-J355,"")</f>
        <v/>
      </c>
    </row>
    <row r="357" spans="1:11" x14ac:dyDescent="0.45">
      <c r="A357" s="1" t="s">
        <v>822</v>
      </c>
      <c r="B357" s="1">
        <f t="shared" si="56"/>
        <v>6</v>
      </c>
      <c r="C357" s="1">
        <f t="shared" si="57"/>
        <v>15</v>
      </c>
      <c r="D357" s="1">
        <f t="shared" si="58"/>
        <v>20</v>
      </c>
      <c r="E357" s="1">
        <f t="shared" si="59"/>
        <v>22</v>
      </c>
      <c r="F357" s="3">
        <f t="shared" si="60"/>
        <v>1508.75</v>
      </c>
      <c r="G357" s="4">
        <f t="shared" si="61"/>
        <v>0.61</v>
      </c>
      <c r="H357" s="3" t="e">
        <f t="shared" si="62"/>
        <v>#VALUE!</v>
      </c>
      <c r="I357" s="1" t="b">
        <f t="shared" si="55"/>
        <v>0</v>
      </c>
      <c r="J357" s="1">
        <f>IF(Table1[[#This Row],[Rising Through Threshold]],Table1[[#This Row],[Start time]],J356)</f>
        <v>1479</v>
      </c>
      <c r="K357" s="1" t="str">
        <f>IF(AND(Table1[[#This Row],[Rising Through Threshold]],J356&gt;0),J357-J356,"")</f>
        <v/>
      </c>
    </row>
    <row r="358" spans="1:11" x14ac:dyDescent="0.45">
      <c r="A358" s="1" t="s">
        <v>823</v>
      </c>
      <c r="B358" s="1">
        <f t="shared" si="56"/>
        <v>6</v>
      </c>
      <c r="C358" s="1">
        <f t="shared" si="57"/>
        <v>13</v>
      </c>
      <c r="D358" s="1">
        <f t="shared" si="58"/>
        <v>18</v>
      </c>
      <c r="E358" s="1">
        <f t="shared" si="59"/>
        <v>20</v>
      </c>
      <c r="F358" s="3">
        <f t="shared" si="60"/>
        <v>1513</v>
      </c>
      <c r="G358" s="4">
        <f t="shared" si="61"/>
        <v>0</v>
      </c>
      <c r="H358" s="3" t="e">
        <f t="shared" si="62"/>
        <v>#VALUE!</v>
      </c>
      <c r="I358" s="1" t="b">
        <f t="shared" si="55"/>
        <v>0</v>
      </c>
      <c r="J358" s="1">
        <f>IF(Table1[[#This Row],[Rising Through Threshold]],Table1[[#This Row],[Start time]],J357)</f>
        <v>1479</v>
      </c>
      <c r="K358" s="1" t="str">
        <f>IF(AND(Table1[[#This Row],[Rising Through Threshold]],J357&gt;0),J358-J357,"")</f>
        <v/>
      </c>
    </row>
    <row r="359" spans="1:11" x14ac:dyDescent="0.45">
      <c r="A359" s="1" t="s">
        <v>824</v>
      </c>
      <c r="B359" s="1">
        <f t="shared" si="56"/>
        <v>6</v>
      </c>
      <c r="C359" s="1">
        <f t="shared" si="57"/>
        <v>15</v>
      </c>
      <c r="D359" s="1">
        <f t="shared" si="58"/>
        <v>20</v>
      </c>
      <c r="E359" s="1">
        <f t="shared" si="59"/>
        <v>22</v>
      </c>
      <c r="F359" s="3">
        <f t="shared" si="60"/>
        <v>1517.25</v>
      </c>
      <c r="G359" s="4">
        <f t="shared" si="61"/>
        <v>0</v>
      </c>
      <c r="H359" s="3" t="e">
        <f t="shared" si="62"/>
        <v>#VALUE!</v>
      </c>
      <c r="I359" s="1" t="b">
        <f t="shared" si="55"/>
        <v>0</v>
      </c>
      <c r="J359" s="1">
        <f>IF(Table1[[#This Row],[Rising Through Threshold]],Table1[[#This Row],[Start time]],J358)</f>
        <v>1479</v>
      </c>
      <c r="K359" s="1" t="str">
        <f>IF(AND(Table1[[#This Row],[Rising Through Threshold]],J358&gt;0),J359-J358,"")</f>
        <v/>
      </c>
    </row>
    <row r="360" spans="1:11" x14ac:dyDescent="0.45">
      <c r="A360" s="1" t="s">
        <v>825</v>
      </c>
      <c r="B360" s="1">
        <f t="shared" si="56"/>
        <v>6</v>
      </c>
      <c r="C360" s="1">
        <f t="shared" si="57"/>
        <v>15</v>
      </c>
      <c r="D360" s="1">
        <f t="shared" si="58"/>
        <v>20</v>
      </c>
      <c r="E360" s="1">
        <f t="shared" si="59"/>
        <v>22</v>
      </c>
      <c r="F360" s="3">
        <f t="shared" si="60"/>
        <v>1521.5</v>
      </c>
      <c r="G360" s="4">
        <f t="shared" si="61"/>
        <v>0.8</v>
      </c>
      <c r="H360" s="3" t="e">
        <f t="shared" si="62"/>
        <v>#VALUE!</v>
      </c>
      <c r="I360" s="1" t="b">
        <f t="shared" si="55"/>
        <v>0</v>
      </c>
      <c r="J360" s="1">
        <f>IF(Table1[[#This Row],[Rising Through Threshold]],Table1[[#This Row],[Start time]],J359)</f>
        <v>1479</v>
      </c>
      <c r="K360" s="1" t="str">
        <f>IF(AND(Table1[[#This Row],[Rising Through Threshold]],J359&gt;0),J360-J359,"")</f>
        <v/>
      </c>
    </row>
    <row r="361" spans="1:11" x14ac:dyDescent="0.45">
      <c r="A361" s="1" t="s">
        <v>826</v>
      </c>
      <c r="B361" s="1">
        <f t="shared" si="56"/>
        <v>6</v>
      </c>
      <c r="C361" s="1">
        <f t="shared" si="57"/>
        <v>15</v>
      </c>
      <c r="D361" s="1">
        <f t="shared" si="58"/>
        <v>20</v>
      </c>
      <c r="E361" s="1">
        <f t="shared" si="59"/>
        <v>22</v>
      </c>
      <c r="F361" s="3">
        <f t="shared" si="60"/>
        <v>1525.75</v>
      </c>
      <c r="G361" s="4">
        <f t="shared" si="61"/>
        <v>1.55</v>
      </c>
      <c r="H361" s="3" t="e">
        <f t="shared" si="62"/>
        <v>#VALUE!</v>
      </c>
      <c r="I361" s="1" t="b">
        <f t="shared" si="55"/>
        <v>0</v>
      </c>
      <c r="J361" s="1">
        <f>IF(Table1[[#This Row],[Rising Through Threshold]],Table1[[#This Row],[Start time]],J360)</f>
        <v>1479</v>
      </c>
      <c r="K361" s="1" t="str">
        <f>IF(AND(Table1[[#This Row],[Rising Through Threshold]],J360&gt;0),J361-J360,"")</f>
        <v/>
      </c>
    </row>
    <row r="362" spans="1:11" x14ac:dyDescent="0.45">
      <c r="A362" s="1" t="s">
        <v>827</v>
      </c>
      <c r="B362" s="1">
        <f t="shared" si="56"/>
        <v>6</v>
      </c>
      <c r="C362" s="1">
        <f t="shared" si="57"/>
        <v>13</v>
      </c>
      <c r="D362" s="1">
        <f t="shared" si="58"/>
        <v>18</v>
      </c>
      <c r="E362" s="1">
        <f t="shared" si="59"/>
        <v>20</v>
      </c>
      <c r="F362" s="3">
        <f t="shared" si="60"/>
        <v>1530</v>
      </c>
      <c r="G362" s="4">
        <f t="shared" si="61"/>
        <v>2.31</v>
      </c>
      <c r="H362" s="3" t="e">
        <f t="shared" si="62"/>
        <v>#VALUE!</v>
      </c>
      <c r="I362" s="1" t="b">
        <f t="shared" si="55"/>
        <v>0</v>
      </c>
      <c r="J362" s="1">
        <f>IF(Table1[[#This Row],[Rising Through Threshold]],Table1[[#This Row],[Start time]],J361)</f>
        <v>1479</v>
      </c>
      <c r="K362" s="1" t="str">
        <f>IF(AND(Table1[[#This Row],[Rising Through Threshold]],J361&gt;0),J362-J361,"")</f>
        <v/>
      </c>
    </row>
    <row r="363" spans="1:11" x14ac:dyDescent="0.45">
      <c r="A363" s="1" t="s">
        <v>828</v>
      </c>
      <c r="B363" s="1">
        <f t="shared" si="56"/>
        <v>6</v>
      </c>
      <c r="C363" s="1">
        <f t="shared" si="57"/>
        <v>15</v>
      </c>
      <c r="D363" s="1">
        <f t="shared" si="58"/>
        <v>20</v>
      </c>
      <c r="E363" s="1">
        <f t="shared" si="59"/>
        <v>22</v>
      </c>
      <c r="F363" s="3">
        <f t="shared" si="60"/>
        <v>1534.25</v>
      </c>
      <c r="G363" s="4">
        <f t="shared" si="61"/>
        <v>3.47</v>
      </c>
      <c r="H363" s="3" t="e">
        <f t="shared" si="62"/>
        <v>#VALUE!</v>
      </c>
      <c r="I363" s="1" t="b">
        <f t="shared" si="55"/>
        <v>1</v>
      </c>
      <c r="J363" s="1">
        <f>IF(Table1[[#This Row],[Rising Through Threshold]],Table1[[#This Row],[Start time]],J362)</f>
        <v>1534.25</v>
      </c>
      <c r="K363" s="1">
        <f>IF(AND(Table1[[#This Row],[Rising Through Threshold]],J362&gt;0),J363-J362,"")</f>
        <v>55.25</v>
      </c>
    </row>
    <row r="364" spans="1:11" x14ac:dyDescent="0.45">
      <c r="A364" s="1" t="s">
        <v>829</v>
      </c>
      <c r="B364" s="1">
        <f t="shared" si="56"/>
        <v>6</v>
      </c>
      <c r="C364" s="1">
        <f t="shared" si="57"/>
        <v>15</v>
      </c>
      <c r="D364" s="1">
        <f t="shared" si="58"/>
        <v>20</v>
      </c>
      <c r="E364" s="1">
        <f t="shared" si="59"/>
        <v>22</v>
      </c>
      <c r="F364" s="3">
        <f t="shared" si="60"/>
        <v>1538.5</v>
      </c>
      <c r="G364" s="4">
        <f t="shared" si="61"/>
        <v>4.1399999999999997</v>
      </c>
      <c r="H364" s="3" t="e">
        <f t="shared" si="62"/>
        <v>#VALUE!</v>
      </c>
      <c r="I364" s="1" t="b">
        <f t="shared" si="55"/>
        <v>0</v>
      </c>
      <c r="J364" s="1">
        <f>IF(Table1[[#This Row],[Rising Through Threshold]],Table1[[#This Row],[Start time]],J363)</f>
        <v>1534.25</v>
      </c>
      <c r="K364" s="1" t="str">
        <f>IF(AND(Table1[[#This Row],[Rising Through Threshold]],J363&gt;0),J364-J363,"")</f>
        <v/>
      </c>
    </row>
    <row r="365" spans="1:11" x14ac:dyDescent="0.45">
      <c r="A365" s="1" t="s">
        <v>830</v>
      </c>
      <c r="B365" s="1">
        <f t="shared" si="56"/>
        <v>6</v>
      </c>
      <c r="C365" s="1">
        <f t="shared" si="57"/>
        <v>15</v>
      </c>
      <c r="D365" s="1">
        <f t="shared" si="58"/>
        <v>20</v>
      </c>
      <c r="E365" s="1">
        <f t="shared" si="59"/>
        <v>22</v>
      </c>
      <c r="F365" s="3">
        <f t="shared" si="60"/>
        <v>1542.75</v>
      </c>
      <c r="G365" s="4">
        <f t="shared" si="61"/>
        <v>5</v>
      </c>
      <c r="H365" s="3" t="e">
        <f t="shared" si="62"/>
        <v>#VALUE!</v>
      </c>
      <c r="I365" s="1" t="b">
        <f t="shared" ref="I365:I401" si="63">AND(G364&lt;Threshold,G365&gt;Threshold)</f>
        <v>0</v>
      </c>
      <c r="J365" s="1">
        <f>IF(Table1[[#This Row],[Rising Through Threshold]],Table1[[#This Row],[Start time]],J364)</f>
        <v>1534.25</v>
      </c>
      <c r="K365" s="1" t="str">
        <f>IF(AND(Table1[[#This Row],[Rising Through Threshold]],J364&gt;0),J365-J364,"")</f>
        <v/>
      </c>
    </row>
    <row r="366" spans="1:11" x14ac:dyDescent="0.45">
      <c r="A366" s="1" t="s">
        <v>831</v>
      </c>
      <c r="B366" s="1">
        <f t="shared" si="56"/>
        <v>6</v>
      </c>
      <c r="C366" s="1">
        <f t="shared" si="57"/>
        <v>13</v>
      </c>
      <c r="D366" s="1">
        <f t="shared" si="58"/>
        <v>18</v>
      </c>
      <c r="E366" s="1">
        <f t="shared" si="59"/>
        <v>20</v>
      </c>
      <c r="F366" s="3">
        <f t="shared" si="60"/>
        <v>1547</v>
      </c>
      <c r="G366" s="4">
        <f t="shared" si="61"/>
        <v>4.41</v>
      </c>
      <c r="H366" s="3" t="e">
        <f t="shared" si="62"/>
        <v>#VALUE!</v>
      </c>
      <c r="I366" s="1" t="b">
        <f t="shared" si="63"/>
        <v>0</v>
      </c>
      <c r="J366" s="1">
        <f>IF(Table1[[#This Row],[Rising Through Threshold]],Table1[[#This Row],[Start time]],J365)</f>
        <v>1534.25</v>
      </c>
      <c r="K366" s="1" t="str">
        <f>IF(AND(Table1[[#This Row],[Rising Through Threshold]],J365&gt;0),J366-J365,"")</f>
        <v/>
      </c>
    </row>
    <row r="367" spans="1:11" x14ac:dyDescent="0.45">
      <c r="A367" s="1" t="s">
        <v>832</v>
      </c>
      <c r="B367" s="1">
        <f t="shared" si="56"/>
        <v>6</v>
      </c>
      <c r="C367" s="1">
        <f t="shared" si="57"/>
        <v>15</v>
      </c>
      <c r="D367" s="1">
        <f t="shared" si="58"/>
        <v>20</v>
      </c>
      <c r="E367" s="1">
        <f t="shared" si="59"/>
        <v>22</v>
      </c>
      <c r="F367" s="3">
        <f t="shared" si="60"/>
        <v>1551.25</v>
      </c>
      <c r="G367" s="4">
        <f t="shared" si="61"/>
        <v>3.47</v>
      </c>
      <c r="H367" s="3" t="e">
        <f t="shared" si="62"/>
        <v>#VALUE!</v>
      </c>
      <c r="I367" s="1" t="b">
        <f t="shared" si="63"/>
        <v>0</v>
      </c>
      <c r="J367" s="1">
        <f>IF(Table1[[#This Row],[Rising Through Threshold]],Table1[[#This Row],[Start time]],J366)</f>
        <v>1534.25</v>
      </c>
      <c r="K367" s="1" t="str">
        <f>IF(AND(Table1[[#This Row],[Rising Through Threshold]],J366&gt;0),J367-J366,"")</f>
        <v/>
      </c>
    </row>
    <row r="368" spans="1:11" x14ac:dyDescent="0.45">
      <c r="A368" s="1" t="s">
        <v>833</v>
      </c>
      <c r="B368" s="1">
        <f t="shared" si="56"/>
        <v>6</v>
      </c>
      <c r="C368" s="1">
        <f t="shared" si="57"/>
        <v>15</v>
      </c>
      <c r="D368" s="1">
        <f t="shared" si="58"/>
        <v>20</v>
      </c>
      <c r="E368" s="1">
        <f t="shared" si="59"/>
        <v>22</v>
      </c>
      <c r="F368" s="3">
        <f t="shared" si="60"/>
        <v>1555.5</v>
      </c>
      <c r="G368" s="4">
        <f t="shared" si="61"/>
        <v>2.5299999999999998</v>
      </c>
      <c r="H368" s="3" t="e">
        <f t="shared" si="62"/>
        <v>#VALUE!</v>
      </c>
      <c r="I368" s="1" t="b">
        <f t="shared" si="63"/>
        <v>0</v>
      </c>
      <c r="J368" s="1">
        <f>IF(Table1[[#This Row],[Rising Through Threshold]],Table1[[#This Row],[Start time]],J367)</f>
        <v>1534.25</v>
      </c>
      <c r="K368" s="1" t="str">
        <f>IF(AND(Table1[[#This Row],[Rising Through Threshold]],J367&gt;0),J368-J367,"")</f>
        <v/>
      </c>
    </row>
    <row r="369" spans="1:11" x14ac:dyDescent="0.45">
      <c r="A369" s="1" t="s">
        <v>834</v>
      </c>
      <c r="B369" s="1">
        <f t="shared" si="56"/>
        <v>6</v>
      </c>
      <c r="C369" s="1">
        <f t="shared" si="57"/>
        <v>15</v>
      </c>
      <c r="D369" s="1">
        <f t="shared" si="58"/>
        <v>20</v>
      </c>
      <c r="E369" s="1">
        <f t="shared" si="59"/>
        <v>22</v>
      </c>
      <c r="F369" s="3">
        <f t="shared" si="60"/>
        <v>1559.75</v>
      </c>
      <c r="G369" s="4">
        <f t="shared" si="61"/>
        <v>1.59</v>
      </c>
      <c r="H369" s="3" t="e">
        <f t="shared" si="62"/>
        <v>#VALUE!</v>
      </c>
      <c r="I369" s="1" t="b">
        <f t="shared" si="63"/>
        <v>0</v>
      </c>
      <c r="J369" s="1">
        <f>IF(Table1[[#This Row],[Rising Through Threshold]],Table1[[#This Row],[Start time]],J368)</f>
        <v>1534.25</v>
      </c>
      <c r="K369" s="1" t="str">
        <f>IF(AND(Table1[[#This Row],[Rising Through Threshold]],J368&gt;0),J369-J368,"")</f>
        <v/>
      </c>
    </row>
    <row r="370" spans="1:11" x14ac:dyDescent="0.45">
      <c r="A370" s="1" t="s">
        <v>835</v>
      </c>
      <c r="B370" s="1">
        <f t="shared" si="56"/>
        <v>6</v>
      </c>
      <c r="C370" s="1">
        <f t="shared" si="57"/>
        <v>13</v>
      </c>
      <c r="D370" s="1">
        <f t="shared" si="58"/>
        <v>18</v>
      </c>
      <c r="E370" s="1">
        <f t="shared" si="59"/>
        <v>20</v>
      </c>
      <c r="F370" s="3">
        <f t="shared" si="60"/>
        <v>1564</v>
      </c>
      <c r="G370" s="4">
        <f t="shared" si="61"/>
        <v>0</v>
      </c>
      <c r="H370" s="3" t="e">
        <f t="shared" si="62"/>
        <v>#VALUE!</v>
      </c>
      <c r="I370" s="1" t="b">
        <f t="shared" si="63"/>
        <v>0</v>
      </c>
      <c r="J370" s="1">
        <f>IF(Table1[[#This Row],[Rising Through Threshold]],Table1[[#This Row],[Start time]],J369)</f>
        <v>1534.25</v>
      </c>
      <c r="K370" s="1" t="str">
        <f>IF(AND(Table1[[#This Row],[Rising Through Threshold]],J369&gt;0),J370-J369,"")</f>
        <v/>
      </c>
    </row>
    <row r="371" spans="1:11" x14ac:dyDescent="0.45">
      <c r="A371" s="1" t="s">
        <v>836</v>
      </c>
      <c r="B371" s="1">
        <f t="shared" si="56"/>
        <v>6</v>
      </c>
      <c r="C371" s="1">
        <f t="shared" si="57"/>
        <v>15</v>
      </c>
      <c r="D371" s="1">
        <f t="shared" si="58"/>
        <v>20</v>
      </c>
      <c r="E371" s="1">
        <f t="shared" si="59"/>
        <v>22</v>
      </c>
      <c r="F371" s="3">
        <f t="shared" si="60"/>
        <v>1568.25</v>
      </c>
      <c r="G371" s="4">
        <f t="shared" si="61"/>
        <v>0</v>
      </c>
      <c r="H371" s="3" t="e">
        <f t="shared" si="62"/>
        <v>#VALUE!</v>
      </c>
      <c r="I371" s="1" t="b">
        <f t="shared" si="63"/>
        <v>0</v>
      </c>
      <c r="J371" s="1">
        <f>IF(Table1[[#This Row],[Rising Through Threshold]],Table1[[#This Row],[Start time]],J370)</f>
        <v>1534.25</v>
      </c>
      <c r="K371" s="1" t="str">
        <f>IF(AND(Table1[[#This Row],[Rising Through Threshold]],J370&gt;0),J371-J370,"")</f>
        <v/>
      </c>
    </row>
    <row r="372" spans="1:11" x14ac:dyDescent="0.45">
      <c r="A372" s="1" t="s">
        <v>837</v>
      </c>
      <c r="B372" s="1">
        <f t="shared" si="56"/>
        <v>6</v>
      </c>
      <c r="C372" s="1">
        <f t="shared" si="57"/>
        <v>15</v>
      </c>
      <c r="D372" s="1">
        <f t="shared" si="58"/>
        <v>20</v>
      </c>
      <c r="E372" s="1">
        <f t="shared" si="59"/>
        <v>22</v>
      </c>
      <c r="F372" s="3">
        <f t="shared" si="60"/>
        <v>1572.5</v>
      </c>
      <c r="G372" s="4">
        <f t="shared" si="61"/>
        <v>0.18</v>
      </c>
      <c r="H372" s="3" t="e">
        <f t="shared" si="62"/>
        <v>#VALUE!</v>
      </c>
      <c r="I372" s="1" t="b">
        <f t="shared" si="63"/>
        <v>0</v>
      </c>
      <c r="J372" s="1">
        <f>IF(Table1[[#This Row],[Rising Through Threshold]],Table1[[#This Row],[Start time]],J371)</f>
        <v>1534.25</v>
      </c>
      <c r="K372" s="1" t="str">
        <f>IF(AND(Table1[[#This Row],[Rising Through Threshold]],J371&gt;0),J372-J371,"")</f>
        <v/>
      </c>
    </row>
    <row r="373" spans="1:11" x14ac:dyDescent="0.45">
      <c r="A373" s="1" t="s">
        <v>838</v>
      </c>
      <c r="B373" s="1">
        <f t="shared" si="56"/>
        <v>6</v>
      </c>
      <c r="C373" s="1">
        <f t="shared" si="57"/>
        <v>15</v>
      </c>
      <c r="D373" s="1">
        <f t="shared" si="58"/>
        <v>20</v>
      </c>
      <c r="E373" s="1">
        <f t="shared" si="59"/>
        <v>22</v>
      </c>
      <c r="F373" s="3">
        <f t="shared" si="60"/>
        <v>1576.75</v>
      </c>
      <c r="G373" s="4">
        <f t="shared" si="61"/>
        <v>1.49</v>
      </c>
      <c r="H373" s="3" t="e">
        <f t="shared" si="62"/>
        <v>#VALUE!</v>
      </c>
      <c r="I373" s="1" t="b">
        <f t="shared" si="63"/>
        <v>0</v>
      </c>
      <c r="J373" s="1">
        <f>IF(Table1[[#This Row],[Rising Through Threshold]],Table1[[#This Row],[Start time]],J372)</f>
        <v>1534.25</v>
      </c>
      <c r="K373" s="1" t="str">
        <f>IF(AND(Table1[[#This Row],[Rising Through Threshold]],J372&gt;0),J373-J372,"")</f>
        <v/>
      </c>
    </row>
    <row r="374" spans="1:11" x14ac:dyDescent="0.45">
      <c r="A374" s="1" t="s">
        <v>839</v>
      </c>
      <c r="B374" s="1">
        <f t="shared" si="56"/>
        <v>6</v>
      </c>
      <c r="C374" s="1">
        <f t="shared" si="57"/>
        <v>13</v>
      </c>
      <c r="D374" s="1">
        <f t="shared" si="58"/>
        <v>18</v>
      </c>
      <c r="E374" s="1">
        <f t="shared" si="59"/>
        <v>20</v>
      </c>
      <c r="F374" s="3">
        <f t="shared" si="60"/>
        <v>1581</v>
      </c>
      <c r="G374" s="4">
        <f t="shared" si="61"/>
        <v>2.25</v>
      </c>
      <c r="H374" s="3" t="e">
        <f t="shared" si="62"/>
        <v>#VALUE!</v>
      </c>
      <c r="I374" s="1" t="b">
        <f t="shared" si="63"/>
        <v>0</v>
      </c>
      <c r="J374" s="1">
        <f>IF(Table1[[#This Row],[Rising Through Threshold]],Table1[[#This Row],[Start time]],J373)</f>
        <v>1534.25</v>
      </c>
      <c r="K374" s="1" t="str">
        <f>IF(AND(Table1[[#This Row],[Rising Through Threshold]],J373&gt;0),J374-J373,"")</f>
        <v/>
      </c>
    </row>
    <row r="375" spans="1:11" x14ac:dyDescent="0.45">
      <c r="A375" s="1" t="s">
        <v>840</v>
      </c>
      <c r="B375" s="1">
        <f t="shared" si="56"/>
        <v>6</v>
      </c>
      <c r="C375" s="1">
        <f t="shared" si="57"/>
        <v>15</v>
      </c>
      <c r="D375" s="1">
        <f t="shared" si="58"/>
        <v>20</v>
      </c>
      <c r="E375" s="1">
        <f t="shared" si="59"/>
        <v>22</v>
      </c>
      <c r="F375" s="3">
        <f t="shared" si="60"/>
        <v>1585.25</v>
      </c>
      <c r="G375" s="4">
        <f t="shared" si="61"/>
        <v>2.98</v>
      </c>
      <c r="H375" s="3" t="e">
        <f t="shared" si="62"/>
        <v>#VALUE!</v>
      </c>
      <c r="I375" s="1" t="b">
        <f t="shared" si="63"/>
        <v>1</v>
      </c>
      <c r="J375" s="1">
        <f>IF(Table1[[#This Row],[Rising Through Threshold]],Table1[[#This Row],[Start time]],J374)</f>
        <v>1585.25</v>
      </c>
      <c r="K375" s="1">
        <f>IF(AND(Table1[[#This Row],[Rising Through Threshold]],J374&gt;0),J375-J374,"")</f>
        <v>51</v>
      </c>
    </row>
    <row r="376" spans="1:11" x14ac:dyDescent="0.45">
      <c r="A376" s="1" t="s">
        <v>841</v>
      </c>
      <c r="B376" s="1">
        <f t="shared" si="56"/>
        <v>6</v>
      </c>
      <c r="C376" s="1">
        <f t="shared" si="57"/>
        <v>15</v>
      </c>
      <c r="D376" s="1">
        <f t="shared" si="58"/>
        <v>20</v>
      </c>
      <c r="E376" s="1">
        <f t="shared" si="59"/>
        <v>22</v>
      </c>
      <c r="F376" s="3">
        <f t="shared" si="60"/>
        <v>1589.5</v>
      </c>
      <c r="G376" s="4">
        <f t="shared" si="61"/>
        <v>3.45</v>
      </c>
      <c r="H376" s="3" t="e">
        <f t="shared" si="62"/>
        <v>#VALUE!</v>
      </c>
      <c r="I376" s="1" t="b">
        <f t="shared" si="63"/>
        <v>0</v>
      </c>
      <c r="J376" s="1">
        <f>IF(Table1[[#This Row],[Rising Through Threshold]],Table1[[#This Row],[Start time]],J375)</f>
        <v>1585.25</v>
      </c>
      <c r="K376" s="1" t="str">
        <f>IF(AND(Table1[[#This Row],[Rising Through Threshold]],J375&gt;0),J376-J375,"")</f>
        <v/>
      </c>
    </row>
    <row r="377" spans="1:11" x14ac:dyDescent="0.45">
      <c r="A377" s="1" t="s">
        <v>842</v>
      </c>
      <c r="B377" s="1">
        <f t="shared" ref="B377:B401" si="64">FIND(":",$A377,1)</f>
        <v>6</v>
      </c>
      <c r="C377" s="1">
        <f t="shared" ref="C377:C401" si="65">FIND(":",$A377,B377+1)</f>
        <v>15</v>
      </c>
      <c r="D377" s="1">
        <f t="shared" ref="D377:D401" si="66">FIND(":",$A377,C377+1)</f>
        <v>20</v>
      </c>
      <c r="E377" s="1">
        <f t="shared" ref="E377:E401" si="67">FIND(":",$A377,D377+1)</f>
        <v>22</v>
      </c>
      <c r="F377" s="3">
        <f t="shared" ref="F377:F401" si="68">_xlfn.NUMBERVALUE(MID($A377,B377+1,C377-B377-1))</f>
        <v>1593.75</v>
      </c>
      <c r="G377" s="4">
        <f t="shared" ref="G377:G401" si="69">_xlfn.NUMBERVALUE(MID($A377,C377+1,D377-C377-1))</f>
        <v>5</v>
      </c>
      <c r="H377" s="3" t="e">
        <f t="shared" ref="H377:H401" si="70">_xlfn.NUMBERVALUE(MID($A377,E377+1,1000))</f>
        <v>#VALUE!</v>
      </c>
      <c r="I377" s="1" t="b">
        <f t="shared" si="63"/>
        <v>0</v>
      </c>
      <c r="J377" s="1">
        <f>IF(Table1[[#This Row],[Rising Through Threshold]],Table1[[#This Row],[Start time]],J376)</f>
        <v>1585.25</v>
      </c>
      <c r="K377" s="1" t="str">
        <f>IF(AND(Table1[[#This Row],[Rising Through Threshold]],J376&gt;0),J377-J376,"")</f>
        <v/>
      </c>
    </row>
    <row r="378" spans="1:11" x14ac:dyDescent="0.45">
      <c r="A378" s="1" t="s">
        <v>843</v>
      </c>
      <c r="B378" s="1">
        <f t="shared" si="64"/>
        <v>6</v>
      </c>
      <c r="C378" s="1">
        <f t="shared" si="65"/>
        <v>13</v>
      </c>
      <c r="D378" s="1">
        <f t="shared" si="66"/>
        <v>18</v>
      </c>
      <c r="E378" s="1">
        <f t="shared" si="67"/>
        <v>20</v>
      </c>
      <c r="F378" s="3">
        <f t="shared" si="68"/>
        <v>1598</v>
      </c>
      <c r="G378" s="4">
        <f t="shared" si="69"/>
        <v>5</v>
      </c>
      <c r="H378" s="3" t="e">
        <f t="shared" si="70"/>
        <v>#VALUE!</v>
      </c>
      <c r="I378" s="1" t="b">
        <f t="shared" si="63"/>
        <v>0</v>
      </c>
      <c r="J378" s="1">
        <f>IF(Table1[[#This Row],[Rising Through Threshold]],Table1[[#This Row],[Start time]],J377)</f>
        <v>1585.25</v>
      </c>
      <c r="K378" s="1" t="str">
        <f>IF(AND(Table1[[#This Row],[Rising Through Threshold]],J377&gt;0),J378-J377,"")</f>
        <v/>
      </c>
    </row>
    <row r="379" spans="1:11" x14ac:dyDescent="0.45">
      <c r="A379" s="1" t="s">
        <v>844</v>
      </c>
      <c r="B379" s="1">
        <f t="shared" si="64"/>
        <v>6</v>
      </c>
      <c r="C379" s="1">
        <f t="shared" si="65"/>
        <v>15</v>
      </c>
      <c r="D379" s="1">
        <f t="shared" si="66"/>
        <v>20</v>
      </c>
      <c r="E379" s="1">
        <f t="shared" si="67"/>
        <v>22</v>
      </c>
      <c r="F379" s="3">
        <f t="shared" si="68"/>
        <v>1602.25</v>
      </c>
      <c r="G379" s="4">
        <f t="shared" si="69"/>
        <v>4.45</v>
      </c>
      <c r="H379" s="3" t="e">
        <f t="shared" si="70"/>
        <v>#VALUE!</v>
      </c>
      <c r="I379" s="1" t="b">
        <f t="shared" si="63"/>
        <v>0</v>
      </c>
      <c r="J379" s="1">
        <f>IF(Table1[[#This Row],[Rising Through Threshold]],Table1[[#This Row],[Start time]],J378)</f>
        <v>1585.25</v>
      </c>
      <c r="K379" s="1" t="str">
        <f>IF(AND(Table1[[#This Row],[Rising Through Threshold]],J378&gt;0),J379-J378,"")</f>
        <v/>
      </c>
    </row>
    <row r="380" spans="1:11" x14ac:dyDescent="0.45">
      <c r="A380" s="1" t="s">
        <v>845</v>
      </c>
      <c r="B380" s="1">
        <f t="shared" si="64"/>
        <v>6</v>
      </c>
      <c r="C380" s="1">
        <f t="shared" si="65"/>
        <v>15</v>
      </c>
      <c r="D380" s="1">
        <f t="shared" si="66"/>
        <v>20</v>
      </c>
      <c r="E380" s="1">
        <f t="shared" si="67"/>
        <v>22</v>
      </c>
      <c r="F380" s="3">
        <f t="shared" si="68"/>
        <v>1606.5</v>
      </c>
      <c r="G380" s="4">
        <f t="shared" si="69"/>
        <v>2.63</v>
      </c>
      <c r="H380" s="3" t="e">
        <f t="shared" si="70"/>
        <v>#VALUE!</v>
      </c>
      <c r="I380" s="1" t="b">
        <f t="shared" si="63"/>
        <v>0</v>
      </c>
      <c r="J380" s="1">
        <f>IF(Table1[[#This Row],[Rising Through Threshold]],Table1[[#This Row],[Start time]],J379)</f>
        <v>1585.25</v>
      </c>
      <c r="K380" s="1" t="str">
        <f>IF(AND(Table1[[#This Row],[Rising Through Threshold]],J379&gt;0),J380-J379,"")</f>
        <v/>
      </c>
    </row>
    <row r="381" spans="1:11" x14ac:dyDescent="0.45">
      <c r="A381" s="1" t="s">
        <v>846</v>
      </c>
      <c r="B381" s="1">
        <f t="shared" si="64"/>
        <v>6</v>
      </c>
      <c r="C381" s="1">
        <f t="shared" si="65"/>
        <v>15</v>
      </c>
      <c r="D381" s="1">
        <f t="shared" si="66"/>
        <v>20</v>
      </c>
      <c r="E381" s="1">
        <f t="shared" si="67"/>
        <v>22</v>
      </c>
      <c r="F381" s="3">
        <f t="shared" si="68"/>
        <v>1610.75</v>
      </c>
      <c r="G381" s="4">
        <f t="shared" si="69"/>
        <v>1.69</v>
      </c>
      <c r="H381" s="3" t="e">
        <f t="shared" si="70"/>
        <v>#VALUE!</v>
      </c>
      <c r="I381" s="1" t="b">
        <f t="shared" si="63"/>
        <v>0</v>
      </c>
      <c r="J381" s="1">
        <f>IF(Table1[[#This Row],[Rising Through Threshold]],Table1[[#This Row],[Start time]],J380)</f>
        <v>1585.25</v>
      </c>
      <c r="K381" s="1" t="str">
        <f>IF(AND(Table1[[#This Row],[Rising Through Threshold]],J380&gt;0),J381-J380,"")</f>
        <v/>
      </c>
    </row>
    <row r="382" spans="1:11" x14ac:dyDescent="0.45">
      <c r="A382" s="1" t="s">
        <v>847</v>
      </c>
      <c r="B382" s="1">
        <f t="shared" si="64"/>
        <v>6</v>
      </c>
      <c r="C382" s="1">
        <f t="shared" si="65"/>
        <v>13</v>
      </c>
      <c r="D382" s="1">
        <f t="shared" si="66"/>
        <v>18</v>
      </c>
      <c r="E382" s="1">
        <f t="shared" si="67"/>
        <v>20</v>
      </c>
      <c r="F382" s="3">
        <f t="shared" si="68"/>
        <v>1615</v>
      </c>
      <c r="G382" s="4">
        <f t="shared" si="69"/>
        <v>0.75</v>
      </c>
      <c r="H382" s="3" t="e">
        <f t="shared" si="70"/>
        <v>#VALUE!</v>
      </c>
      <c r="I382" s="1" t="b">
        <f t="shared" si="63"/>
        <v>0</v>
      </c>
      <c r="J382" s="1">
        <f>IF(Table1[[#This Row],[Rising Through Threshold]],Table1[[#This Row],[Start time]],J381)</f>
        <v>1585.25</v>
      </c>
      <c r="K382" s="1" t="str">
        <f>IF(AND(Table1[[#This Row],[Rising Through Threshold]],J381&gt;0),J382-J381,"")</f>
        <v/>
      </c>
    </row>
    <row r="383" spans="1:11" x14ac:dyDescent="0.45">
      <c r="A383" s="1" t="s">
        <v>848</v>
      </c>
      <c r="B383" s="1">
        <f t="shared" si="64"/>
        <v>6</v>
      </c>
      <c r="C383" s="1">
        <f t="shared" si="65"/>
        <v>15</v>
      </c>
      <c r="D383" s="1">
        <f t="shared" si="66"/>
        <v>20</v>
      </c>
      <c r="E383" s="1">
        <f t="shared" si="67"/>
        <v>22</v>
      </c>
      <c r="F383" s="3">
        <f t="shared" si="68"/>
        <v>1619.25</v>
      </c>
      <c r="G383" s="4">
        <f t="shared" si="69"/>
        <v>0</v>
      </c>
      <c r="H383" s="3" t="e">
        <f t="shared" si="70"/>
        <v>#VALUE!</v>
      </c>
      <c r="I383" s="1" t="b">
        <f t="shared" si="63"/>
        <v>0</v>
      </c>
      <c r="J383" s="1">
        <f>IF(Table1[[#This Row],[Rising Through Threshold]],Table1[[#This Row],[Start time]],J382)</f>
        <v>1585.25</v>
      </c>
      <c r="K383" s="1" t="str">
        <f>IF(AND(Table1[[#This Row],[Rising Through Threshold]],J382&gt;0),J383-J382,"")</f>
        <v/>
      </c>
    </row>
    <row r="384" spans="1:11" x14ac:dyDescent="0.45">
      <c r="A384" s="1" t="s">
        <v>849</v>
      </c>
      <c r="B384" s="1">
        <f t="shared" si="64"/>
        <v>6</v>
      </c>
      <c r="C384" s="1">
        <f t="shared" si="65"/>
        <v>15</v>
      </c>
      <c r="D384" s="1">
        <f t="shared" si="66"/>
        <v>20</v>
      </c>
      <c r="E384" s="1">
        <f t="shared" si="67"/>
        <v>22</v>
      </c>
      <c r="F384" s="3">
        <f t="shared" si="68"/>
        <v>1623.5</v>
      </c>
      <c r="G384" s="4">
        <f t="shared" si="69"/>
        <v>0.14000000000000001</v>
      </c>
      <c r="H384" s="3" t="e">
        <f t="shared" si="70"/>
        <v>#VALUE!</v>
      </c>
      <c r="I384" s="1" t="b">
        <f t="shared" si="63"/>
        <v>0</v>
      </c>
      <c r="J384" s="1">
        <f>IF(Table1[[#This Row],[Rising Through Threshold]],Table1[[#This Row],[Start time]],J383)</f>
        <v>1585.25</v>
      </c>
      <c r="K384" s="1" t="str">
        <f>IF(AND(Table1[[#This Row],[Rising Through Threshold]],J383&gt;0),J384-J383,"")</f>
        <v/>
      </c>
    </row>
    <row r="385" spans="1:11" x14ac:dyDescent="0.45">
      <c r="A385" s="1" t="s">
        <v>850</v>
      </c>
      <c r="B385" s="1">
        <f t="shared" si="64"/>
        <v>6</v>
      </c>
      <c r="C385" s="1">
        <f t="shared" si="65"/>
        <v>15</v>
      </c>
      <c r="D385" s="1">
        <f t="shared" si="66"/>
        <v>20</v>
      </c>
      <c r="E385" s="1">
        <f t="shared" si="67"/>
        <v>22</v>
      </c>
      <c r="F385" s="3">
        <f t="shared" si="68"/>
        <v>1627.75</v>
      </c>
      <c r="G385" s="4">
        <f t="shared" si="69"/>
        <v>0.75</v>
      </c>
      <c r="H385" s="3" t="e">
        <f t="shared" si="70"/>
        <v>#VALUE!</v>
      </c>
      <c r="I385" s="1" t="b">
        <f t="shared" si="63"/>
        <v>0</v>
      </c>
      <c r="J385" s="1">
        <f>IF(Table1[[#This Row],[Rising Through Threshold]],Table1[[#This Row],[Start time]],J384)</f>
        <v>1585.25</v>
      </c>
      <c r="K385" s="1" t="str">
        <f>IF(AND(Table1[[#This Row],[Rising Through Threshold]],J384&gt;0),J385-J384,"")</f>
        <v/>
      </c>
    </row>
    <row r="386" spans="1:11" x14ac:dyDescent="0.45">
      <c r="A386" s="1" t="s">
        <v>851</v>
      </c>
      <c r="B386" s="1">
        <f t="shared" si="64"/>
        <v>6</v>
      </c>
      <c r="C386" s="1">
        <f t="shared" si="65"/>
        <v>13</v>
      </c>
      <c r="D386" s="1">
        <f t="shared" si="66"/>
        <v>18</v>
      </c>
      <c r="E386" s="1">
        <f t="shared" si="67"/>
        <v>20</v>
      </c>
      <c r="F386" s="3">
        <f t="shared" si="68"/>
        <v>1632</v>
      </c>
      <c r="G386" s="4">
        <f t="shared" si="69"/>
        <v>1.43</v>
      </c>
      <c r="H386" s="3" t="e">
        <f t="shared" si="70"/>
        <v>#VALUE!</v>
      </c>
      <c r="I386" s="1" t="b">
        <f t="shared" si="63"/>
        <v>0</v>
      </c>
      <c r="J386" s="1">
        <f>IF(Table1[[#This Row],[Rising Through Threshold]],Table1[[#This Row],[Start time]],J385)</f>
        <v>1585.25</v>
      </c>
      <c r="K386" s="1" t="str">
        <f>IF(AND(Table1[[#This Row],[Rising Through Threshold]],J385&gt;0),J386-J385,"")</f>
        <v/>
      </c>
    </row>
    <row r="387" spans="1:11" x14ac:dyDescent="0.45">
      <c r="A387" s="1" t="s">
        <v>852</v>
      </c>
      <c r="B387" s="1">
        <f t="shared" si="64"/>
        <v>6</v>
      </c>
      <c r="C387" s="1">
        <f t="shared" si="65"/>
        <v>15</v>
      </c>
      <c r="D387" s="1">
        <f t="shared" si="66"/>
        <v>20</v>
      </c>
      <c r="E387" s="1">
        <f t="shared" si="67"/>
        <v>22</v>
      </c>
      <c r="F387" s="3">
        <f t="shared" si="68"/>
        <v>1636.25</v>
      </c>
      <c r="G387" s="4">
        <f t="shared" si="69"/>
        <v>2.94</v>
      </c>
      <c r="H387" s="3" t="e">
        <f t="shared" si="70"/>
        <v>#VALUE!</v>
      </c>
      <c r="I387" s="1" t="b">
        <f t="shared" si="63"/>
        <v>1</v>
      </c>
      <c r="J387" s="1">
        <f>IF(Table1[[#This Row],[Rising Through Threshold]],Table1[[#This Row],[Start time]],J386)</f>
        <v>1636.25</v>
      </c>
      <c r="K387" s="1">
        <f>IF(AND(Table1[[#This Row],[Rising Through Threshold]],J386&gt;0),J387-J386,"")</f>
        <v>51</v>
      </c>
    </row>
    <row r="388" spans="1:11" x14ac:dyDescent="0.45">
      <c r="A388" s="1" t="s">
        <v>853</v>
      </c>
      <c r="B388" s="1">
        <f t="shared" si="64"/>
        <v>6</v>
      </c>
      <c r="C388" s="1">
        <f t="shared" si="65"/>
        <v>15</v>
      </c>
      <c r="D388" s="1">
        <f t="shared" si="66"/>
        <v>20</v>
      </c>
      <c r="E388" s="1">
        <f t="shared" si="67"/>
        <v>22</v>
      </c>
      <c r="F388" s="3">
        <f t="shared" si="68"/>
        <v>1640.5</v>
      </c>
      <c r="G388" s="4">
        <f t="shared" si="69"/>
        <v>3.45</v>
      </c>
      <c r="H388" s="3" t="e">
        <f t="shared" si="70"/>
        <v>#VALUE!</v>
      </c>
      <c r="I388" s="1" t="b">
        <f t="shared" si="63"/>
        <v>0</v>
      </c>
      <c r="J388" s="1">
        <f>IF(Table1[[#This Row],[Rising Through Threshold]],Table1[[#This Row],[Start time]],J387)</f>
        <v>1636.25</v>
      </c>
      <c r="K388" s="1" t="str">
        <f>IF(AND(Table1[[#This Row],[Rising Through Threshold]],J387&gt;0),J388-J387,"")</f>
        <v/>
      </c>
    </row>
    <row r="389" spans="1:11" x14ac:dyDescent="0.45">
      <c r="A389" s="1" t="s">
        <v>854</v>
      </c>
      <c r="B389" s="1">
        <f t="shared" si="64"/>
        <v>6</v>
      </c>
      <c r="C389" s="1">
        <f t="shared" si="65"/>
        <v>15</v>
      </c>
      <c r="D389" s="1">
        <f t="shared" si="66"/>
        <v>20</v>
      </c>
      <c r="E389" s="1">
        <f t="shared" si="67"/>
        <v>22</v>
      </c>
      <c r="F389" s="3">
        <f t="shared" si="68"/>
        <v>1644.75</v>
      </c>
      <c r="G389" s="4">
        <f t="shared" si="69"/>
        <v>4.04</v>
      </c>
      <c r="H389" s="3" t="e">
        <f t="shared" si="70"/>
        <v>#VALUE!</v>
      </c>
      <c r="I389" s="1" t="b">
        <f t="shared" si="63"/>
        <v>0</v>
      </c>
      <c r="J389" s="1">
        <f>IF(Table1[[#This Row],[Rising Through Threshold]],Table1[[#This Row],[Start time]],J388)</f>
        <v>1636.25</v>
      </c>
      <c r="K389" s="1" t="str">
        <f>IF(AND(Table1[[#This Row],[Rising Through Threshold]],J388&gt;0),J389-J388,"")</f>
        <v/>
      </c>
    </row>
    <row r="390" spans="1:11" x14ac:dyDescent="0.45">
      <c r="A390" s="1" t="s">
        <v>855</v>
      </c>
      <c r="B390" s="1">
        <f t="shared" si="64"/>
        <v>6</v>
      </c>
      <c r="C390" s="1">
        <f t="shared" si="65"/>
        <v>13</v>
      </c>
      <c r="D390" s="1">
        <f t="shared" si="66"/>
        <v>18</v>
      </c>
      <c r="E390" s="1">
        <f t="shared" si="67"/>
        <v>20</v>
      </c>
      <c r="F390" s="3">
        <f t="shared" si="68"/>
        <v>1649</v>
      </c>
      <c r="G390" s="4">
        <f t="shared" si="69"/>
        <v>5</v>
      </c>
      <c r="H390" s="3" t="e">
        <f t="shared" si="70"/>
        <v>#VALUE!</v>
      </c>
      <c r="I390" s="1" t="b">
        <f t="shared" si="63"/>
        <v>0</v>
      </c>
      <c r="J390" s="1">
        <f>IF(Table1[[#This Row],[Rising Through Threshold]],Table1[[#This Row],[Start time]],J389)</f>
        <v>1636.25</v>
      </c>
      <c r="K390" s="1" t="str">
        <f>IF(AND(Table1[[#This Row],[Rising Through Threshold]],J389&gt;0),J390-J389,"")</f>
        <v/>
      </c>
    </row>
    <row r="391" spans="1:11" x14ac:dyDescent="0.45">
      <c r="A391" s="1" t="s">
        <v>856</v>
      </c>
      <c r="B391" s="1">
        <f t="shared" si="64"/>
        <v>6</v>
      </c>
      <c r="C391" s="1">
        <f t="shared" si="65"/>
        <v>15</v>
      </c>
      <c r="D391" s="1">
        <f t="shared" si="66"/>
        <v>20</v>
      </c>
      <c r="E391" s="1">
        <f t="shared" si="67"/>
        <v>22</v>
      </c>
      <c r="F391" s="3">
        <f t="shared" si="68"/>
        <v>1653.25</v>
      </c>
      <c r="G391" s="4">
        <f t="shared" si="69"/>
        <v>4.53</v>
      </c>
      <c r="H391" s="3" t="e">
        <f t="shared" si="70"/>
        <v>#VALUE!</v>
      </c>
      <c r="I391" s="1" t="b">
        <f t="shared" si="63"/>
        <v>0</v>
      </c>
      <c r="J391" s="1">
        <f>IF(Table1[[#This Row],[Rising Through Threshold]],Table1[[#This Row],[Start time]],J390)</f>
        <v>1636.25</v>
      </c>
      <c r="K391" s="1" t="str">
        <f>IF(AND(Table1[[#This Row],[Rising Through Threshold]],J390&gt;0),J391-J390,"")</f>
        <v/>
      </c>
    </row>
    <row r="392" spans="1:11" x14ac:dyDescent="0.45">
      <c r="A392" s="1" t="s">
        <v>857</v>
      </c>
      <c r="B392" s="1">
        <f t="shared" si="64"/>
        <v>6</v>
      </c>
      <c r="C392" s="1">
        <f t="shared" si="65"/>
        <v>15</v>
      </c>
      <c r="D392" s="1">
        <f t="shared" si="66"/>
        <v>20</v>
      </c>
      <c r="E392" s="1">
        <f t="shared" si="67"/>
        <v>22</v>
      </c>
      <c r="F392" s="3">
        <f t="shared" si="68"/>
        <v>1657.5</v>
      </c>
      <c r="G392" s="4">
        <f t="shared" si="69"/>
        <v>3.61</v>
      </c>
      <c r="H392" s="3" t="e">
        <f t="shared" si="70"/>
        <v>#VALUE!</v>
      </c>
      <c r="I392" s="1" t="b">
        <f t="shared" si="63"/>
        <v>0</v>
      </c>
      <c r="J392" s="1">
        <f>IF(Table1[[#This Row],[Rising Through Threshold]],Table1[[#This Row],[Start time]],J391)</f>
        <v>1636.25</v>
      </c>
      <c r="K392" s="1" t="str">
        <f>IF(AND(Table1[[#This Row],[Rising Through Threshold]],J391&gt;0),J392-J391,"")</f>
        <v/>
      </c>
    </row>
    <row r="393" spans="1:11" x14ac:dyDescent="0.45">
      <c r="A393" s="1" t="s">
        <v>858</v>
      </c>
      <c r="B393" s="1">
        <f t="shared" si="64"/>
        <v>6</v>
      </c>
      <c r="C393" s="1">
        <f t="shared" si="65"/>
        <v>15</v>
      </c>
      <c r="D393" s="1">
        <f t="shared" si="66"/>
        <v>20</v>
      </c>
      <c r="E393" s="1">
        <f t="shared" si="67"/>
        <v>22</v>
      </c>
      <c r="F393" s="3">
        <f t="shared" si="68"/>
        <v>1661.75</v>
      </c>
      <c r="G393" s="4">
        <f t="shared" si="69"/>
        <v>2.67</v>
      </c>
      <c r="H393" s="3" t="e">
        <f t="shared" si="70"/>
        <v>#VALUE!</v>
      </c>
      <c r="I393" s="1" t="b">
        <f t="shared" si="63"/>
        <v>0</v>
      </c>
      <c r="J393" s="1">
        <f>IF(Table1[[#This Row],[Rising Through Threshold]],Table1[[#This Row],[Start time]],J392)</f>
        <v>1636.25</v>
      </c>
      <c r="K393" s="1" t="str">
        <f>IF(AND(Table1[[#This Row],[Rising Through Threshold]],J392&gt;0),J393-J392,"")</f>
        <v/>
      </c>
    </row>
    <row r="394" spans="1:11" x14ac:dyDescent="0.45">
      <c r="A394" s="1" t="s">
        <v>859</v>
      </c>
      <c r="B394" s="1">
        <f t="shared" si="64"/>
        <v>6</v>
      </c>
      <c r="C394" s="1">
        <f t="shared" si="65"/>
        <v>13</v>
      </c>
      <c r="D394" s="1">
        <f t="shared" si="66"/>
        <v>18</v>
      </c>
      <c r="E394" s="1">
        <f t="shared" si="67"/>
        <v>20</v>
      </c>
      <c r="F394" s="3">
        <f t="shared" si="68"/>
        <v>1666</v>
      </c>
      <c r="G394" s="4">
        <f t="shared" si="69"/>
        <v>0.76</v>
      </c>
      <c r="H394" s="3" t="e">
        <f t="shared" si="70"/>
        <v>#VALUE!</v>
      </c>
      <c r="I394" s="1" t="b">
        <f t="shared" si="63"/>
        <v>0</v>
      </c>
      <c r="J394" s="1">
        <f>IF(Table1[[#This Row],[Rising Through Threshold]],Table1[[#This Row],[Start time]],J393)</f>
        <v>1636.25</v>
      </c>
      <c r="K394" s="1" t="str">
        <f>IF(AND(Table1[[#This Row],[Rising Through Threshold]],J393&gt;0),J394-J393,"")</f>
        <v/>
      </c>
    </row>
    <row r="395" spans="1:11" x14ac:dyDescent="0.45">
      <c r="A395" s="1" t="s">
        <v>860</v>
      </c>
      <c r="B395" s="1">
        <f t="shared" si="64"/>
        <v>6</v>
      </c>
      <c r="C395" s="1">
        <f t="shared" si="65"/>
        <v>15</v>
      </c>
      <c r="D395" s="1">
        <f t="shared" si="66"/>
        <v>20</v>
      </c>
      <c r="E395" s="1">
        <f t="shared" si="67"/>
        <v>22</v>
      </c>
      <c r="F395" s="3">
        <f t="shared" si="68"/>
        <v>1670.25</v>
      </c>
      <c r="G395" s="4">
        <f t="shared" si="69"/>
        <v>0</v>
      </c>
      <c r="H395" s="3" t="e">
        <f t="shared" si="70"/>
        <v>#VALUE!</v>
      </c>
      <c r="I395" s="1" t="b">
        <f t="shared" si="63"/>
        <v>0</v>
      </c>
      <c r="J395" s="1">
        <f>IF(Table1[[#This Row],[Rising Through Threshold]],Table1[[#This Row],[Start time]],J394)</f>
        <v>1636.25</v>
      </c>
      <c r="K395" s="1" t="str">
        <f>IF(AND(Table1[[#This Row],[Rising Through Threshold]],J394&gt;0),J395-J394,"")</f>
        <v/>
      </c>
    </row>
    <row r="396" spans="1:11" x14ac:dyDescent="0.45">
      <c r="A396" s="1" t="s">
        <v>485</v>
      </c>
      <c r="B396" s="1">
        <f t="shared" si="64"/>
        <v>6</v>
      </c>
      <c r="C396" s="1">
        <f t="shared" si="65"/>
        <v>15</v>
      </c>
      <c r="D396" s="1">
        <f t="shared" si="66"/>
        <v>20</v>
      </c>
      <c r="E396" s="1">
        <f t="shared" si="67"/>
        <v>22</v>
      </c>
      <c r="F396" s="3">
        <f t="shared" si="68"/>
        <v>1674.5</v>
      </c>
      <c r="G396" s="4">
        <f t="shared" si="69"/>
        <v>0</v>
      </c>
      <c r="H396" s="3" t="e">
        <f t="shared" si="70"/>
        <v>#VALUE!</v>
      </c>
      <c r="I396" s="1" t="b">
        <f t="shared" si="63"/>
        <v>0</v>
      </c>
      <c r="J396" s="1">
        <f>IF(Table1[[#This Row],[Rising Through Threshold]],Table1[[#This Row],[Start time]],J395)</f>
        <v>1636.25</v>
      </c>
      <c r="K396" s="1" t="str">
        <f>IF(AND(Table1[[#This Row],[Rising Through Threshold]],J395&gt;0),J396-J395,"")</f>
        <v/>
      </c>
    </row>
    <row r="397" spans="1:11" x14ac:dyDescent="0.45">
      <c r="A397" s="1" t="s">
        <v>861</v>
      </c>
      <c r="B397" s="1">
        <f t="shared" si="64"/>
        <v>6</v>
      </c>
      <c r="C397" s="1">
        <f t="shared" si="65"/>
        <v>15</v>
      </c>
      <c r="D397" s="1">
        <f t="shared" si="66"/>
        <v>20</v>
      </c>
      <c r="E397" s="1">
        <f t="shared" si="67"/>
        <v>22</v>
      </c>
      <c r="F397" s="3">
        <f t="shared" si="68"/>
        <v>1678.75</v>
      </c>
      <c r="G397" s="4">
        <f t="shared" si="69"/>
        <v>0.69</v>
      </c>
      <c r="H397" s="3" t="e">
        <f t="shared" si="70"/>
        <v>#VALUE!</v>
      </c>
      <c r="I397" s="1" t="b">
        <f t="shared" si="63"/>
        <v>0</v>
      </c>
      <c r="J397" s="1">
        <f>IF(Table1[[#This Row],[Rising Through Threshold]],Table1[[#This Row],[Start time]],J396)</f>
        <v>1636.25</v>
      </c>
      <c r="K397" s="1" t="str">
        <f>IF(AND(Table1[[#This Row],[Rising Through Threshold]],J396&gt;0),J397-J396,"")</f>
        <v/>
      </c>
    </row>
    <row r="398" spans="1:11" x14ac:dyDescent="0.45">
      <c r="A398" s="1" t="s">
        <v>862</v>
      </c>
      <c r="B398" s="1">
        <f t="shared" si="64"/>
        <v>6</v>
      </c>
      <c r="C398" s="1">
        <f t="shared" si="65"/>
        <v>13</v>
      </c>
      <c r="D398" s="1">
        <f t="shared" si="66"/>
        <v>18</v>
      </c>
      <c r="E398" s="1">
        <f t="shared" si="67"/>
        <v>20</v>
      </c>
      <c r="F398" s="3">
        <f t="shared" si="68"/>
        <v>1683</v>
      </c>
      <c r="G398" s="4">
        <f t="shared" si="69"/>
        <v>1.39</v>
      </c>
      <c r="H398" s="3" t="e">
        <f t="shared" si="70"/>
        <v>#VALUE!</v>
      </c>
      <c r="I398" s="1" t="b">
        <f t="shared" si="63"/>
        <v>0</v>
      </c>
      <c r="J398" s="1">
        <f>IF(Table1[[#This Row],[Rising Through Threshold]],Table1[[#This Row],[Start time]],J397)</f>
        <v>1636.25</v>
      </c>
      <c r="K398" s="1" t="str">
        <f>IF(AND(Table1[[#This Row],[Rising Through Threshold]],J397&gt;0),J398-J397,"")</f>
        <v/>
      </c>
    </row>
    <row r="399" spans="1:11" x14ac:dyDescent="0.45">
      <c r="A399" s="1" t="s">
        <v>863</v>
      </c>
      <c r="B399" s="1">
        <f t="shared" si="64"/>
        <v>6</v>
      </c>
      <c r="C399" s="1">
        <f t="shared" si="65"/>
        <v>15</v>
      </c>
      <c r="D399" s="1">
        <f t="shared" si="66"/>
        <v>20</v>
      </c>
      <c r="E399" s="1">
        <f t="shared" si="67"/>
        <v>22</v>
      </c>
      <c r="F399" s="3">
        <f t="shared" si="68"/>
        <v>1687.25</v>
      </c>
      <c r="G399" s="4">
        <f t="shared" si="69"/>
        <v>2.2000000000000002</v>
      </c>
      <c r="H399" s="3" t="e">
        <f t="shared" si="70"/>
        <v>#VALUE!</v>
      </c>
      <c r="I399" s="1" t="b">
        <f t="shared" si="63"/>
        <v>0</v>
      </c>
      <c r="J399" s="1">
        <f>IF(Table1[[#This Row],[Rising Through Threshold]],Table1[[#This Row],[Start time]],J398)</f>
        <v>1636.25</v>
      </c>
      <c r="K399" s="1" t="str">
        <f>IF(AND(Table1[[#This Row],[Rising Through Threshold]],J398&gt;0),J399-J398,"")</f>
        <v/>
      </c>
    </row>
    <row r="400" spans="1:11" x14ac:dyDescent="0.45">
      <c r="A400" s="1" t="s">
        <v>864</v>
      </c>
      <c r="B400" s="1">
        <f t="shared" si="64"/>
        <v>6</v>
      </c>
      <c r="C400" s="1">
        <f t="shared" si="65"/>
        <v>15</v>
      </c>
      <c r="D400" s="1">
        <f t="shared" si="66"/>
        <v>20</v>
      </c>
      <c r="E400" s="1">
        <f t="shared" si="67"/>
        <v>22</v>
      </c>
      <c r="F400" s="3">
        <f t="shared" si="68"/>
        <v>1691.5</v>
      </c>
      <c r="G400" s="4">
        <f t="shared" si="69"/>
        <v>3.45</v>
      </c>
      <c r="H400" s="3" t="e">
        <f t="shared" si="70"/>
        <v>#VALUE!</v>
      </c>
      <c r="I400" s="1" t="b">
        <f t="shared" si="63"/>
        <v>1</v>
      </c>
      <c r="J400" s="1">
        <f>IF(Table1[[#This Row],[Rising Through Threshold]],Table1[[#This Row],[Start time]],J399)</f>
        <v>1691.5</v>
      </c>
      <c r="K400" s="1">
        <f>IF(AND(Table1[[#This Row],[Rising Through Threshold]],J399&gt;0),J400-J399,"")</f>
        <v>55.25</v>
      </c>
    </row>
    <row r="401" spans="1:11" x14ac:dyDescent="0.45">
      <c r="A401" s="1" t="s">
        <v>865</v>
      </c>
      <c r="B401" s="1">
        <f t="shared" si="64"/>
        <v>6</v>
      </c>
      <c r="C401" s="1">
        <f t="shared" si="65"/>
        <v>15</v>
      </c>
      <c r="D401" s="1">
        <f t="shared" si="66"/>
        <v>20</v>
      </c>
      <c r="E401" s="1">
        <f t="shared" si="67"/>
        <v>22</v>
      </c>
      <c r="F401" s="3">
        <f t="shared" si="68"/>
        <v>1695.75</v>
      </c>
      <c r="G401" s="4">
        <f t="shared" si="69"/>
        <v>4</v>
      </c>
      <c r="H401" s="3" t="e">
        <f t="shared" si="70"/>
        <v>#VALUE!</v>
      </c>
      <c r="I401" s="1" t="b">
        <f t="shared" si="63"/>
        <v>0</v>
      </c>
      <c r="J401" s="1">
        <f>IF(Table1[[#This Row],[Rising Through Threshold]],Table1[[#This Row],[Start time]],J400)</f>
        <v>1691.5</v>
      </c>
      <c r="K401" s="1" t="str">
        <f>IF(AND(Table1[[#This Row],[Rising Through Threshold]],J400&gt;0),J401-J400,"")</f>
        <v/>
      </c>
    </row>
    <row r="402" spans="1:11" x14ac:dyDescent="0.45">
      <c r="A402" s="1" t="s">
        <v>15</v>
      </c>
      <c r="G402" s="4">
        <f>SUBTOTAL(101,Table1[Voltage])</f>
        <v>2.3721249999999992</v>
      </c>
      <c r="K402" s="1">
        <f>SUBTOTAL(101,Table1[Period])</f>
        <v>52.59375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BC08-63E3-4724-B13F-5998D3C10179}">
  <dimension ref="A1:K407"/>
  <sheetViews>
    <sheetView topLeftCell="A60" workbookViewId="0">
      <selection activeCell="J79" sqref="J79"/>
    </sheetView>
  </sheetViews>
  <sheetFormatPr defaultColWidth="9.1328125" defaultRowHeight="14.25" x14ac:dyDescent="0.45"/>
  <cols>
    <col min="1" max="1" width="14.59765625" style="17" customWidth="1"/>
    <col min="2" max="11" width="10.59765625" style="17" customWidth="1"/>
    <col min="12" max="12" width="16.59765625" style="17" customWidth="1"/>
    <col min="13" max="16384" width="9.1328125" style="17"/>
  </cols>
  <sheetData>
    <row r="1" spans="1:11" ht="28.5" x14ac:dyDescent="0.95">
      <c r="A1" s="64" t="s">
        <v>871</v>
      </c>
      <c r="B1" s="64"/>
      <c r="C1" s="64"/>
      <c r="D1" s="64"/>
      <c r="E1" s="64"/>
      <c r="F1" s="64"/>
      <c r="G1" s="64"/>
      <c r="H1" s="64"/>
      <c r="I1" s="64"/>
      <c r="J1" s="64"/>
    </row>
    <row r="2" spans="1:11" ht="16.5" x14ac:dyDescent="0.45">
      <c r="A2" s="65" t="s">
        <v>449</v>
      </c>
      <c r="B2" s="65"/>
      <c r="C2" s="65"/>
      <c r="D2" s="65"/>
      <c r="E2" s="65"/>
      <c r="F2" s="65"/>
      <c r="G2" s="65"/>
      <c r="H2" s="65"/>
      <c r="I2" s="65"/>
      <c r="J2" s="65"/>
    </row>
    <row r="3" spans="1:11" ht="33.5" customHeight="1" x14ac:dyDescent="0.65">
      <c r="A3" s="85" t="s">
        <v>450</v>
      </c>
      <c r="B3" s="85"/>
      <c r="C3" s="85"/>
      <c r="D3" s="85"/>
      <c r="E3" s="85"/>
      <c r="F3" s="85"/>
      <c r="G3" s="85"/>
      <c r="H3" s="85"/>
      <c r="I3" s="85"/>
      <c r="J3" s="85"/>
      <c r="K3" s="85"/>
    </row>
    <row r="4" spans="1:11" ht="15.4" x14ac:dyDescent="0.45">
      <c r="A4" s="32" t="s">
        <v>451</v>
      </c>
      <c r="B4" s="32" t="s">
        <v>428</v>
      </c>
      <c r="C4" s="32" t="s">
        <v>430</v>
      </c>
      <c r="D4" s="32" t="s">
        <v>431</v>
      </c>
      <c r="E4" s="32" t="s">
        <v>432</v>
      </c>
      <c r="F4" s="32" t="s">
        <v>433</v>
      </c>
      <c r="G4" s="32" t="s">
        <v>434</v>
      </c>
      <c r="H4" s="32" t="s">
        <v>435</v>
      </c>
      <c r="I4" s="32" t="s">
        <v>436</v>
      </c>
      <c r="J4" s="32" t="s">
        <v>437</v>
      </c>
      <c r="K4" s="32" t="s">
        <v>438</v>
      </c>
    </row>
    <row r="5" spans="1:11" ht="19.5" customHeight="1" x14ac:dyDescent="0.45">
      <c r="A5" s="34">
        <v>45997.681582835648</v>
      </c>
      <c r="B5" s="33">
        <v>5205.84</v>
      </c>
      <c r="C5" s="33">
        <v>2.84</v>
      </c>
      <c r="D5" s="62" t="s">
        <v>876</v>
      </c>
      <c r="E5" s="62" t="s">
        <v>876</v>
      </c>
      <c r="F5" s="33">
        <v>4000</v>
      </c>
      <c r="G5" s="33">
        <v>5</v>
      </c>
      <c r="H5" s="33">
        <v>0</v>
      </c>
      <c r="I5" s="33">
        <v>7</v>
      </c>
      <c r="J5" s="33"/>
      <c r="K5" s="33"/>
    </row>
    <row r="6" spans="1:11" ht="33.5" customHeight="1" x14ac:dyDescent="0.65">
      <c r="A6" s="86" t="s">
        <v>452</v>
      </c>
      <c r="B6" s="86"/>
      <c r="C6" s="86"/>
      <c r="D6" s="86"/>
      <c r="E6" s="86"/>
      <c r="F6" s="86"/>
      <c r="G6" s="86"/>
      <c r="H6" s="86"/>
      <c r="I6" s="86"/>
      <c r="J6" s="86"/>
      <c r="K6" s="86"/>
    </row>
    <row r="7" spans="1:11" ht="15.4" x14ac:dyDescent="0.45">
      <c r="A7" s="32" t="s">
        <v>451</v>
      </c>
      <c r="B7" s="32" t="s">
        <v>428</v>
      </c>
      <c r="C7" s="32" t="s">
        <v>430</v>
      </c>
      <c r="D7" s="32" t="s">
        <v>431</v>
      </c>
      <c r="E7" s="32" t="s">
        <v>432</v>
      </c>
      <c r="F7" s="32" t="s">
        <v>433</v>
      </c>
      <c r="G7" s="32" t="s">
        <v>434</v>
      </c>
      <c r="H7" s="32" t="s">
        <v>435</v>
      </c>
      <c r="I7" s="32" t="s">
        <v>436</v>
      </c>
      <c r="J7" s="32" t="s">
        <v>437</v>
      </c>
      <c r="K7" s="32" t="s">
        <v>438</v>
      </c>
    </row>
    <row r="8" spans="1:11" ht="19.5" customHeight="1" x14ac:dyDescent="0.45">
      <c r="A8" s="37">
        <v>45997.681564456019</v>
      </c>
      <c r="B8" s="35">
        <v>0</v>
      </c>
      <c r="C8" s="35">
        <v>0.51</v>
      </c>
      <c r="D8" s="63" t="s">
        <v>876</v>
      </c>
      <c r="E8" s="63" t="s">
        <v>876</v>
      </c>
      <c r="F8" s="35">
        <v>4000</v>
      </c>
      <c r="G8" s="35">
        <v>5</v>
      </c>
      <c r="H8" s="35">
        <v>1</v>
      </c>
      <c r="I8" s="35">
        <v>0</v>
      </c>
      <c r="J8" s="35"/>
      <c r="K8" s="35"/>
    </row>
    <row r="9" spans="1:11" ht="19.5" customHeight="1" x14ac:dyDescent="0.45">
      <c r="A9" s="38">
        <v>45997.681564537037</v>
      </c>
      <c r="B9" s="36">
        <v>26.16</v>
      </c>
      <c r="C9" s="36">
        <v>0.63</v>
      </c>
      <c r="D9" s="60" t="s">
        <v>876</v>
      </c>
      <c r="E9" s="60" t="s">
        <v>876</v>
      </c>
      <c r="F9" s="36">
        <v>4000</v>
      </c>
      <c r="G9" s="36">
        <v>5</v>
      </c>
      <c r="H9" s="36">
        <v>1</v>
      </c>
      <c r="I9" s="36">
        <v>0</v>
      </c>
      <c r="J9" s="36"/>
      <c r="K9" s="36"/>
    </row>
    <row r="10" spans="1:11" ht="19.5" customHeight="1" x14ac:dyDescent="0.45">
      <c r="A10" s="38">
        <v>45997.681564652776</v>
      </c>
      <c r="B10" s="36">
        <v>52.32</v>
      </c>
      <c r="C10" s="36">
        <v>0.8</v>
      </c>
      <c r="D10" s="60" t="s">
        <v>876</v>
      </c>
      <c r="E10" s="60" t="s">
        <v>876</v>
      </c>
      <c r="F10" s="36">
        <v>4000</v>
      </c>
      <c r="G10" s="36">
        <v>5</v>
      </c>
      <c r="H10" s="36">
        <v>1</v>
      </c>
      <c r="I10" s="36">
        <v>0</v>
      </c>
      <c r="J10" s="36"/>
      <c r="K10" s="36"/>
    </row>
    <row r="11" spans="1:11" ht="19.5" customHeight="1" x14ac:dyDescent="0.45">
      <c r="A11" s="38">
        <v>45997.681564733793</v>
      </c>
      <c r="B11" s="36">
        <v>78.48</v>
      </c>
      <c r="C11" s="36">
        <v>1.06</v>
      </c>
      <c r="D11" s="60" t="s">
        <v>876</v>
      </c>
      <c r="E11" s="60" t="s">
        <v>876</v>
      </c>
      <c r="F11" s="36">
        <v>4000</v>
      </c>
      <c r="G11" s="36">
        <v>5</v>
      </c>
      <c r="H11" s="36">
        <v>1</v>
      </c>
      <c r="I11" s="36">
        <v>0</v>
      </c>
      <c r="J11" s="36"/>
      <c r="K11" s="36"/>
    </row>
    <row r="12" spans="1:11" ht="19.5" customHeight="1" x14ac:dyDescent="0.45">
      <c r="A12" s="38">
        <v>45997.681564791666</v>
      </c>
      <c r="B12" s="36">
        <v>104.64</v>
      </c>
      <c r="C12" s="36">
        <v>1.31</v>
      </c>
      <c r="D12" s="60" t="s">
        <v>876</v>
      </c>
      <c r="E12" s="60" t="s">
        <v>876</v>
      </c>
      <c r="F12" s="36">
        <v>4000</v>
      </c>
      <c r="G12" s="36">
        <v>5</v>
      </c>
      <c r="H12" s="36">
        <v>1</v>
      </c>
      <c r="I12" s="36">
        <v>0</v>
      </c>
      <c r="J12" s="36"/>
      <c r="K12" s="36"/>
    </row>
    <row r="13" spans="1:11" ht="19.5" customHeight="1" x14ac:dyDescent="0.45">
      <c r="A13" s="38">
        <v>45997.68156488426</v>
      </c>
      <c r="B13" s="36">
        <v>130.80000000000001</v>
      </c>
      <c r="C13" s="36">
        <v>1.59</v>
      </c>
      <c r="D13" s="60" t="s">
        <v>876</v>
      </c>
      <c r="E13" s="60" t="s">
        <v>876</v>
      </c>
      <c r="F13" s="36">
        <v>4000</v>
      </c>
      <c r="G13" s="36">
        <v>5</v>
      </c>
      <c r="H13" s="36">
        <v>1</v>
      </c>
      <c r="I13" s="36">
        <v>0</v>
      </c>
      <c r="J13" s="36"/>
      <c r="K13" s="36"/>
    </row>
    <row r="14" spans="1:11" ht="19.5" customHeight="1" x14ac:dyDescent="0.45">
      <c r="A14" s="38">
        <v>45997.681564976854</v>
      </c>
      <c r="B14" s="36">
        <v>156.96</v>
      </c>
      <c r="C14" s="36">
        <v>1.84</v>
      </c>
      <c r="D14" s="60" t="s">
        <v>876</v>
      </c>
      <c r="E14" s="60" t="s">
        <v>876</v>
      </c>
      <c r="F14" s="36">
        <v>4000</v>
      </c>
      <c r="G14" s="36">
        <v>5</v>
      </c>
      <c r="H14" s="36">
        <v>1</v>
      </c>
      <c r="I14" s="36">
        <v>0</v>
      </c>
      <c r="J14" s="36"/>
      <c r="K14" s="36"/>
    </row>
    <row r="15" spans="1:11" ht="19.5" customHeight="1" x14ac:dyDescent="0.45">
      <c r="A15" s="38">
        <v>45997.681565069448</v>
      </c>
      <c r="B15" s="36">
        <v>183.12</v>
      </c>
      <c r="C15" s="36">
        <v>2.1</v>
      </c>
      <c r="D15" s="60" t="s">
        <v>876</v>
      </c>
      <c r="E15" s="60" t="s">
        <v>876</v>
      </c>
      <c r="F15" s="36">
        <v>4000</v>
      </c>
      <c r="G15" s="36">
        <v>5</v>
      </c>
      <c r="H15" s="36">
        <v>0</v>
      </c>
      <c r="I15" s="36">
        <v>1</v>
      </c>
      <c r="J15" s="36"/>
      <c r="K15" s="36"/>
    </row>
    <row r="16" spans="1:11" ht="19.5" customHeight="1" x14ac:dyDescent="0.45">
      <c r="A16" s="38">
        <v>45997.681565162035</v>
      </c>
      <c r="B16" s="36">
        <v>209.28</v>
      </c>
      <c r="C16" s="36">
        <v>2.31</v>
      </c>
      <c r="D16" s="60" t="s">
        <v>876</v>
      </c>
      <c r="E16" s="60" t="s">
        <v>876</v>
      </c>
      <c r="F16" s="36">
        <v>4000</v>
      </c>
      <c r="G16" s="36">
        <v>5</v>
      </c>
      <c r="H16" s="36">
        <v>0</v>
      </c>
      <c r="I16" s="36">
        <v>1</v>
      </c>
      <c r="J16" s="36"/>
      <c r="K16" s="36"/>
    </row>
    <row r="17" spans="1:11" ht="19.5" customHeight="1" x14ac:dyDescent="0.45">
      <c r="A17" s="38">
        <v>45997.681565254628</v>
      </c>
      <c r="B17" s="36">
        <v>235.44</v>
      </c>
      <c r="C17" s="36">
        <v>2.5299999999999998</v>
      </c>
      <c r="D17" s="60" t="s">
        <v>876</v>
      </c>
      <c r="E17" s="60" t="s">
        <v>876</v>
      </c>
      <c r="F17" s="36">
        <v>4000</v>
      </c>
      <c r="G17" s="36">
        <v>5</v>
      </c>
      <c r="H17" s="36">
        <v>0</v>
      </c>
      <c r="I17" s="36">
        <v>1</v>
      </c>
      <c r="J17" s="36"/>
      <c r="K17" s="36"/>
    </row>
    <row r="18" spans="1:11" ht="19.5" customHeight="1" x14ac:dyDescent="0.45">
      <c r="A18" s="38">
        <v>45997.681565347222</v>
      </c>
      <c r="B18" s="36">
        <v>261.60000000000002</v>
      </c>
      <c r="C18" s="36">
        <v>2.71</v>
      </c>
      <c r="D18" s="60" t="s">
        <v>876</v>
      </c>
      <c r="E18" s="60" t="s">
        <v>876</v>
      </c>
      <c r="F18" s="36">
        <v>4000</v>
      </c>
      <c r="G18" s="36">
        <v>5</v>
      </c>
      <c r="H18" s="36">
        <v>0</v>
      </c>
      <c r="I18" s="36">
        <v>1</v>
      </c>
      <c r="J18" s="36"/>
      <c r="K18" s="36"/>
    </row>
    <row r="19" spans="1:11" ht="19.5" customHeight="1" x14ac:dyDescent="0.45">
      <c r="A19" s="38">
        <v>45997.681565439816</v>
      </c>
      <c r="B19" s="36">
        <v>287.76</v>
      </c>
      <c r="C19" s="36">
        <v>2.88</v>
      </c>
      <c r="D19" s="60" t="s">
        <v>876</v>
      </c>
      <c r="E19" s="60" t="s">
        <v>876</v>
      </c>
      <c r="F19" s="36">
        <v>4000</v>
      </c>
      <c r="G19" s="36">
        <v>5</v>
      </c>
      <c r="H19" s="36">
        <v>0</v>
      </c>
      <c r="I19" s="36">
        <v>1</v>
      </c>
      <c r="J19" s="36"/>
      <c r="K19" s="36"/>
    </row>
    <row r="20" spans="1:11" ht="19.5" customHeight="1" x14ac:dyDescent="0.45">
      <c r="A20" s="38">
        <v>45997.681565543979</v>
      </c>
      <c r="B20" s="36">
        <v>313.92</v>
      </c>
      <c r="C20" s="36">
        <v>3.04</v>
      </c>
      <c r="D20" s="60" t="s">
        <v>876</v>
      </c>
      <c r="E20" s="60" t="s">
        <v>876</v>
      </c>
      <c r="F20" s="36">
        <v>4000</v>
      </c>
      <c r="G20" s="36">
        <v>5</v>
      </c>
      <c r="H20" s="36">
        <v>0</v>
      </c>
      <c r="I20" s="36">
        <v>1</v>
      </c>
      <c r="J20" s="36"/>
      <c r="K20" s="36"/>
    </row>
    <row r="21" spans="1:11" ht="19.5" customHeight="1" x14ac:dyDescent="0.45">
      <c r="A21" s="38">
        <v>45997.681565624996</v>
      </c>
      <c r="B21" s="36">
        <v>340.8</v>
      </c>
      <c r="C21" s="36">
        <v>3.2</v>
      </c>
      <c r="D21" s="60" t="s">
        <v>876</v>
      </c>
      <c r="E21" s="60" t="s">
        <v>876</v>
      </c>
      <c r="F21" s="36">
        <v>4000</v>
      </c>
      <c r="G21" s="36">
        <v>5</v>
      </c>
      <c r="H21" s="36">
        <v>0</v>
      </c>
      <c r="I21" s="36">
        <v>1</v>
      </c>
      <c r="J21" s="36"/>
      <c r="K21" s="36"/>
    </row>
    <row r="22" spans="1:11" ht="19.5" customHeight="1" x14ac:dyDescent="0.45">
      <c r="A22" s="38">
        <v>45997.681565694445</v>
      </c>
      <c r="B22" s="36">
        <v>366.24</v>
      </c>
      <c r="C22" s="36">
        <v>3.31</v>
      </c>
      <c r="D22" s="60" t="s">
        <v>876</v>
      </c>
      <c r="E22" s="60" t="s">
        <v>876</v>
      </c>
      <c r="F22" s="36">
        <v>4000</v>
      </c>
      <c r="G22" s="36">
        <v>5</v>
      </c>
      <c r="H22" s="36">
        <v>0</v>
      </c>
      <c r="I22" s="36">
        <v>1</v>
      </c>
      <c r="J22" s="36"/>
      <c r="K22" s="36"/>
    </row>
    <row r="23" spans="1:11" ht="19.5" customHeight="1" x14ac:dyDescent="0.45">
      <c r="A23" s="38">
        <v>45997.681565787039</v>
      </c>
      <c r="B23" s="36">
        <v>392.4</v>
      </c>
      <c r="C23" s="36">
        <v>3.43</v>
      </c>
      <c r="D23" s="60" t="s">
        <v>876</v>
      </c>
      <c r="E23" s="60" t="s">
        <v>876</v>
      </c>
      <c r="F23" s="36">
        <v>4000</v>
      </c>
      <c r="G23" s="36">
        <v>5</v>
      </c>
      <c r="H23" s="36">
        <v>0</v>
      </c>
      <c r="I23" s="36">
        <v>1</v>
      </c>
      <c r="J23" s="36"/>
      <c r="K23" s="36"/>
    </row>
    <row r="24" spans="1:11" ht="19.5" customHeight="1" x14ac:dyDescent="0.45">
      <c r="A24" s="38">
        <v>45997.681565868057</v>
      </c>
      <c r="B24" s="36">
        <v>418.56</v>
      </c>
      <c r="C24" s="36">
        <v>3.53</v>
      </c>
      <c r="D24" s="60" t="s">
        <v>876</v>
      </c>
      <c r="E24" s="60" t="s">
        <v>876</v>
      </c>
      <c r="F24" s="36">
        <v>4000</v>
      </c>
      <c r="G24" s="36">
        <v>5</v>
      </c>
      <c r="H24" s="36">
        <v>0</v>
      </c>
      <c r="I24" s="36">
        <v>1</v>
      </c>
      <c r="J24" s="36"/>
      <c r="K24" s="36"/>
    </row>
    <row r="25" spans="1:11" ht="19.5" customHeight="1" x14ac:dyDescent="0.45">
      <c r="A25" s="38">
        <v>45997.68156597222</v>
      </c>
      <c r="B25" s="36">
        <v>444.72</v>
      </c>
      <c r="C25" s="36">
        <v>3.63</v>
      </c>
      <c r="D25" s="60" t="s">
        <v>876</v>
      </c>
      <c r="E25" s="60" t="s">
        <v>876</v>
      </c>
      <c r="F25" s="36">
        <v>4000</v>
      </c>
      <c r="G25" s="36">
        <v>5</v>
      </c>
      <c r="H25" s="36">
        <v>0</v>
      </c>
      <c r="I25" s="36">
        <v>1</v>
      </c>
      <c r="J25" s="36"/>
      <c r="K25" s="36"/>
    </row>
    <row r="26" spans="1:11" ht="19.5" customHeight="1" x14ac:dyDescent="0.45">
      <c r="A26" s="38">
        <v>45997.681566053237</v>
      </c>
      <c r="B26" s="36">
        <v>470.88</v>
      </c>
      <c r="C26" s="36">
        <v>3.69</v>
      </c>
      <c r="D26" s="60" t="s">
        <v>876</v>
      </c>
      <c r="E26" s="60" t="s">
        <v>876</v>
      </c>
      <c r="F26" s="36">
        <v>4000</v>
      </c>
      <c r="G26" s="36">
        <v>5</v>
      </c>
      <c r="H26" s="36">
        <v>0</v>
      </c>
      <c r="I26" s="36">
        <v>1</v>
      </c>
      <c r="J26" s="36"/>
      <c r="K26" s="36"/>
    </row>
    <row r="27" spans="1:11" ht="19.5" customHeight="1" x14ac:dyDescent="0.45">
      <c r="A27" s="38">
        <v>45997.681566157407</v>
      </c>
      <c r="B27" s="36">
        <v>497.4</v>
      </c>
      <c r="C27" s="36">
        <v>3.75</v>
      </c>
      <c r="D27" s="60" t="s">
        <v>876</v>
      </c>
      <c r="E27" s="60" t="s">
        <v>876</v>
      </c>
      <c r="F27" s="36">
        <v>4000</v>
      </c>
      <c r="G27" s="36">
        <v>5</v>
      </c>
      <c r="H27" s="36">
        <v>0</v>
      </c>
      <c r="I27" s="36">
        <v>1</v>
      </c>
      <c r="J27" s="36"/>
      <c r="K27" s="36"/>
    </row>
    <row r="28" spans="1:11" ht="19.5" customHeight="1" x14ac:dyDescent="0.45">
      <c r="A28" s="38">
        <v>45997.681566250001</v>
      </c>
      <c r="B28" s="36">
        <v>523.20000000000005</v>
      </c>
      <c r="C28" s="36">
        <v>3.73</v>
      </c>
      <c r="D28" s="60" t="s">
        <v>876</v>
      </c>
      <c r="E28" s="60" t="s">
        <v>876</v>
      </c>
      <c r="F28" s="36">
        <v>4000</v>
      </c>
      <c r="G28" s="36">
        <v>5</v>
      </c>
      <c r="H28" s="36">
        <v>0</v>
      </c>
      <c r="I28" s="36">
        <v>1</v>
      </c>
      <c r="J28" s="36"/>
      <c r="K28" s="36"/>
    </row>
    <row r="29" spans="1:11" ht="19.5" customHeight="1" x14ac:dyDescent="0.45">
      <c r="A29" s="38">
        <v>45997.681566342595</v>
      </c>
      <c r="B29" s="36">
        <v>549.36</v>
      </c>
      <c r="C29" s="36">
        <v>3.63</v>
      </c>
      <c r="D29" s="60" t="s">
        <v>876</v>
      </c>
      <c r="E29" s="60" t="s">
        <v>876</v>
      </c>
      <c r="F29" s="36">
        <v>4000</v>
      </c>
      <c r="G29" s="36">
        <v>5</v>
      </c>
      <c r="H29" s="36">
        <v>0</v>
      </c>
      <c r="I29" s="36">
        <v>1</v>
      </c>
      <c r="J29" s="36"/>
      <c r="K29" s="36"/>
    </row>
    <row r="30" spans="1:11" ht="19.5" customHeight="1" x14ac:dyDescent="0.45">
      <c r="A30" s="38">
        <v>45997.681566435182</v>
      </c>
      <c r="B30" s="36">
        <v>575.52</v>
      </c>
      <c r="C30" s="36">
        <v>3.37</v>
      </c>
      <c r="D30" s="60" t="s">
        <v>876</v>
      </c>
      <c r="E30" s="60" t="s">
        <v>876</v>
      </c>
      <c r="F30" s="36">
        <v>4000</v>
      </c>
      <c r="G30" s="36">
        <v>5</v>
      </c>
      <c r="H30" s="36">
        <v>0</v>
      </c>
      <c r="I30" s="36">
        <v>1</v>
      </c>
      <c r="J30" s="36"/>
      <c r="K30" s="36"/>
    </row>
    <row r="31" spans="1:11" ht="19.5" customHeight="1" x14ac:dyDescent="0.45">
      <c r="A31" s="38">
        <v>45997.681566539351</v>
      </c>
      <c r="B31" s="36">
        <v>601.67999999999995</v>
      </c>
      <c r="C31" s="36">
        <v>2.94</v>
      </c>
      <c r="D31" s="60" t="s">
        <v>876</v>
      </c>
      <c r="E31" s="60" t="s">
        <v>876</v>
      </c>
      <c r="F31" s="36">
        <v>4000</v>
      </c>
      <c r="G31" s="36">
        <v>5</v>
      </c>
      <c r="H31" s="36">
        <v>0</v>
      </c>
      <c r="I31" s="36">
        <v>1</v>
      </c>
      <c r="J31" s="36"/>
      <c r="K31" s="36"/>
    </row>
    <row r="32" spans="1:11" ht="19.5" customHeight="1" x14ac:dyDescent="0.45">
      <c r="A32" s="38">
        <v>45997.681566597224</v>
      </c>
      <c r="B32" s="36">
        <v>627.84</v>
      </c>
      <c r="C32" s="36">
        <v>2.33</v>
      </c>
      <c r="D32" s="60" t="s">
        <v>876</v>
      </c>
      <c r="E32" s="60" t="s">
        <v>876</v>
      </c>
      <c r="F32" s="36">
        <v>4000</v>
      </c>
      <c r="G32" s="36">
        <v>5</v>
      </c>
      <c r="H32" s="36">
        <v>0</v>
      </c>
      <c r="I32" s="36">
        <v>1</v>
      </c>
      <c r="J32" s="36"/>
      <c r="K32" s="36"/>
    </row>
    <row r="33" spans="1:11" ht="19.5" customHeight="1" x14ac:dyDescent="0.45">
      <c r="A33" s="38">
        <v>45997.681566689818</v>
      </c>
      <c r="B33" s="36">
        <v>654</v>
      </c>
      <c r="C33" s="36">
        <v>1.61</v>
      </c>
      <c r="D33" s="60" t="s">
        <v>876</v>
      </c>
      <c r="E33" s="60" t="s">
        <v>876</v>
      </c>
      <c r="F33" s="36">
        <v>4000</v>
      </c>
      <c r="G33" s="36">
        <v>5</v>
      </c>
      <c r="H33" s="36">
        <v>1</v>
      </c>
      <c r="I33" s="36">
        <v>1</v>
      </c>
      <c r="J33" s="36"/>
      <c r="K33" s="36"/>
    </row>
    <row r="34" spans="1:11" ht="19.5" customHeight="1" x14ac:dyDescent="0.45">
      <c r="A34" s="38">
        <v>45997.681566770836</v>
      </c>
      <c r="B34" s="36">
        <v>680.16</v>
      </c>
      <c r="C34" s="36">
        <v>0.9</v>
      </c>
      <c r="D34" s="60" t="s">
        <v>876</v>
      </c>
      <c r="E34" s="60" t="s">
        <v>876</v>
      </c>
      <c r="F34" s="36">
        <v>4000</v>
      </c>
      <c r="G34" s="36">
        <v>5</v>
      </c>
      <c r="H34" s="36">
        <v>1</v>
      </c>
      <c r="I34" s="36">
        <v>1</v>
      </c>
      <c r="J34" s="36"/>
      <c r="K34" s="36"/>
    </row>
    <row r="35" spans="1:11" ht="19.5" customHeight="1" x14ac:dyDescent="0.45">
      <c r="A35" s="38">
        <v>45997.681566874999</v>
      </c>
      <c r="B35" s="36">
        <v>706.32</v>
      </c>
      <c r="C35" s="36">
        <v>0.43</v>
      </c>
      <c r="D35" s="60" t="s">
        <v>876</v>
      </c>
      <c r="E35" s="60" t="s">
        <v>876</v>
      </c>
      <c r="F35" s="36">
        <v>4000</v>
      </c>
      <c r="G35" s="36">
        <v>5</v>
      </c>
      <c r="H35" s="36">
        <v>1</v>
      </c>
      <c r="I35" s="36">
        <v>1</v>
      </c>
      <c r="J35" s="36"/>
      <c r="K35" s="36"/>
    </row>
    <row r="36" spans="1:11" ht="19.5" customHeight="1" x14ac:dyDescent="0.45">
      <c r="A36" s="38">
        <v>45997.681566967593</v>
      </c>
      <c r="B36" s="36">
        <v>732.48</v>
      </c>
      <c r="C36" s="36">
        <v>0.45</v>
      </c>
      <c r="D36" s="60" t="s">
        <v>876</v>
      </c>
      <c r="E36" s="60" t="s">
        <v>876</v>
      </c>
      <c r="F36" s="36">
        <v>4000</v>
      </c>
      <c r="G36" s="36">
        <v>5</v>
      </c>
      <c r="H36" s="36">
        <v>1</v>
      </c>
      <c r="I36" s="36">
        <v>1</v>
      </c>
      <c r="J36" s="36"/>
      <c r="K36" s="36"/>
    </row>
    <row r="37" spans="1:11" ht="19.5" customHeight="1" x14ac:dyDescent="0.45">
      <c r="A37" s="38">
        <v>45997.68156704861</v>
      </c>
      <c r="B37" s="36">
        <v>758.64</v>
      </c>
      <c r="C37" s="36">
        <v>0.47</v>
      </c>
      <c r="D37" s="60" t="s">
        <v>876</v>
      </c>
      <c r="E37" s="60" t="s">
        <v>876</v>
      </c>
      <c r="F37" s="36">
        <v>4000</v>
      </c>
      <c r="G37" s="36">
        <v>5</v>
      </c>
      <c r="H37" s="36">
        <v>1</v>
      </c>
      <c r="I37" s="36">
        <v>1</v>
      </c>
      <c r="J37" s="36"/>
      <c r="K37" s="36"/>
    </row>
    <row r="38" spans="1:11" ht="19.5" customHeight="1" x14ac:dyDescent="0.45">
      <c r="A38" s="38">
        <v>45997.68156715278</v>
      </c>
      <c r="B38" s="36">
        <v>784.8</v>
      </c>
      <c r="C38" s="36">
        <v>0.56999999999999995</v>
      </c>
      <c r="D38" s="60" t="s">
        <v>876</v>
      </c>
      <c r="E38" s="60" t="s">
        <v>876</v>
      </c>
      <c r="F38" s="36">
        <v>4000</v>
      </c>
      <c r="G38" s="36">
        <v>5</v>
      </c>
      <c r="H38" s="36">
        <v>1</v>
      </c>
      <c r="I38" s="36">
        <v>1</v>
      </c>
      <c r="J38" s="36"/>
      <c r="K38" s="36"/>
    </row>
    <row r="39" spans="1:11" ht="19.5" customHeight="1" x14ac:dyDescent="0.45">
      <c r="A39" s="38">
        <v>45997.681567245367</v>
      </c>
      <c r="B39" s="36">
        <v>810.96</v>
      </c>
      <c r="C39" s="36">
        <v>0.73</v>
      </c>
      <c r="D39" s="60" t="s">
        <v>876</v>
      </c>
      <c r="E39" s="60" t="s">
        <v>876</v>
      </c>
      <c r="F39" s="36">
        <v>4000</v>
      </c>
      <c r="G39" s="36">
        <v>5</v>
      </c>
      <c r="H39" s="36">
        <v>1</v>
      </c>
      <c r="I39" s="36">
        <v>1</v>
      </c>
      <c r="J39" s="36"/>
      <c r="K39" s="36"/>
    </row>
    <row r="40" spans="1:11" ht="19.5" customHeight="1" x14ac:dyDescent="0.45">
      <c r="A40" s="38">
        <v>45997.681567337961</v>
      </c>
      <c r="B40" s="36">
        <v>837.12</v>
      </c>
      <c r="C40" s="36">
        <v>0.96</v>
      </c>
      <c r="D40" s="60" t="s">
        <v>876</v>
      </c>
      <c r="E40" s="60" t="s">
        <v>876</v>
      </c>
      <c r="F40" s="36">
        <v>4000</v>
      </c>
      <c r="G40" s="36">
        <v>5</v>
      </c>
      <c r="H40" s="36">
        <v>1</v>
      </c>
      <c r="I40" s="36">
        <v>1</v>
      </c>
      <c r="J40" s="36"/>
      <c r="K40" s="36"/>
    </row>
    <row r="41" spans="1:11" ht="19.5" customHeight="1" x14ac:dyDescent="0.45">
      <c r="A41" s="38">
        <v>45997.681567395834</v>
      </c>
      <c r="B41" s="36">
        <v>863.28</v>
      </c>
      <c r="C41" s="36">
        <v>1.22</v>
      </c>
      <c r="D41" s="60" t="s">
        <v>876</v>
      </c>
      <c r="E41" s="60" t="s">
        <v>876</v>
      </c>
      <c r="F41" s="36">
        <v>4000</v>
      </c>
      <c r="G41" s="36">
        <v>5</v>
      </c>
      <c r="H41" s="36">
        <v>1</v>
      </c>
      <c r="I41" s="36">
        <v>1</v>
      </c>
      <c r="J41" s="36"/>
      <c r="K41" s="36"/>
    </row>
    <row r="42" spans="1:11" ht="19.5" customHeight="1" x14ac:dyDescent="0.45">
      <c r="A42" s="38">
        <v>45997.681567488427</v>
      </c>
      <c r="B42" s="36">
        <v>889.44</v>
      </c>
      <c r="C42" s="36">
        <v>1.49</v>
      </c>
      <c r="D42" s="60" t="s">
        <v>876</v>
      </c>
      <c r="E42" s="60" t="s">
        <v>876</v>
      </c>
      <c r="F42" s="36">
        <v>4000</v>
      </c>
      <c r="G42" s="36">
        <v>5</v>
      </c>
      <c r="H42" s="36">
        <v>1</v>
      </c>
      <c r="I42" s="36">
        <v>1</v>
      </c>
      <c r="J42" s="36"/>
      <c r="K42" s="36"/>
    </row>
    <row r="43" spans="1:11" ht="19.5" customHeight="1" x14ac:dyDescent="0.45">
      <c r="A43" s="38">
        <v>45997.681567581021</v>
      </c>
      <c r="B43" s="36">
        <v>915.6</v>
      </c>
      <c r="C43" s="36">
        <v>1.75</v>
      </c>
      <c r="D43" s="60" t="s">
        <v>876</v>
      </c>
      <c r="E43" s="60" t="s">
        <v>876</v>
      </c>
      <c r="F43" s="36">
        <v>4000</v>
      </c>
      <c r="G43" s="36">
        <v>5</v>
      </c>
      <c r="H43" s="36">
        <v>1</v>
      </c>
      <c r="I43" s="36">
        <v>1</v>
      </c>
      <c r="J43" s="36"/>
      <c r="K43" s="36"/>
    </row>
    <row r="44" spans="1:11" ht="19.5" customHeight="1" x14ac:dyDescent="0.45">
      <c r="A44" s="38">
        <v>45997.681567673608</v>
      </c>
      <c r="B44" s="36">
        <v>941.76</v>
      </c>
      <c r="C44" s="36">
        <v>2</v>
      </c>
      <c r="D44" s="60" t="s">
        <v>876</v>
      </c>
      <c r="E44" s="60" t="s">
        <v>876</v>
      </c>
      <c r="F44" s="36">
        <v>4000</v>
      </c>
      <c r="G44" s="36">
        <v>5</v>
      </c>
      <c r="H44" s="36">
        <v>0</v>
      </c>
      <c r="I44" s="36">
        <v>2</v>
      </c>
      <c r="J44" s="36"/>
      <c r="K44" s="36"/>
    </row>
    <row r="45" spans="1:11" ht="19.5" customHeight="1" x14ac:dyDescent="0.45">
      <c r="A45" s="38">
        <v>45997.681567777778</v>
      </c>
      <c r="B45" s="36">
        <v>967.92</v>
      </c>
      <c r="C45" s="36">
        <v>2.2400000000000002</v>
      </c>
      <c r="D45" s="60" t="s">
        <v>876</v>
      </c>
      <c r="E45" s="60" t="s">
        <v>876</v>
      </c>
      <c r="F45" s="36">
        <v>4000</v>
      </c>
      <c r="G45" s="36">
        <v>5</v>
      </c>
      <c r="H45" s="36">
        <v>0</v>
      </c>
      <c r="I45" s="36">
        <v>2</v>
      </c>
      <c r="J45" s="36"/>
      <c r="K45" s="36"/>
    </row>
    <row r="46" spans="1:11" ht="19.5" customHeight="1" x14ac:dyDescent="0.45">
      <c r="A46" s="38">
        <v>45997.681567870372</v>
      </c>
      <c r="B46" s="36">
        <v>994.8</v>
      </c>
      <c r="C46" s="36">
        <v>2.4500000000000002</v>
      </c>
      <c r="D46" s="60" t="s">
        <v>876</v>
      </c>
      <c r="E46" s="60" t="s">
        <v>876</v>
      </c>
      <c r="F46" s="36">
        <v>4000</v>
      </c>
      <c r="G46" s="36">
        <v>5</v>
      </c>
      <c r="H46" s="36">
        <v>0</v>
      </c>
      <c r="I46" s="36">
        <v>2</v>
      </c>
      <c r="J46" s="36"/>
      <c r="K46" s="36"/>
    </row>
    <row r="47" spans="1:11" ht="19.5" customHeight="1" x14ac:dyDescent="0.45">
      <c r="A47" s="38">
        <v>45997.681567962965</v>
      </c>
      <c r="B47" s="36">
        <v>1020.24</v>
      </c>
      <c r="C47" s="36">
        <v>2.65</v>
      </c>
      <c r="D47" s="60" t="s">
        <v>876</v>
      </c>
      <c r="E47" s="60" t="s">
        <v>876</v>
      </c>
      <c r="F47" s="36">
        <v>4000</v>
      </c>
      <c r="G47" s="36">
        <v>5</v>
      </c>
      <c r="H47" s="36">
        <v>0</v>
      </c>
      <c r="I47" s="36">
        <v>2</v>
      </c>
      <c r="J47" s="36"/>
      <c r="K47" s="36"/>
    </row>
    <row r="48" spans="1:11" ht="19.5" customHeight="1" x14ac:dyDescent="0.45">
      <c r="A48" s="38">
        <v>45997.681568055559</v>
      </c>
      <c r="B48" s="36">
        <v>1046.4000000000001</v>
      </c>
      <c r="C48" s="36">
        <v>2.82</v>
      </c>
      <c r="D48" s="60" t="s">
        <v>876</v>
      </c>
      <c r="E48" s="60" t="s">
        <v>876</v>
      </c>
      <c r="F48" s="36">
        <v>4000</v>
      </c>
      <c r="G48" s="36">
        <v>5</v>
      </c>
      <c r="H48" s="36">
        <v>0</v>
      </c>
      <c r="I48" s="36">
        <v>2</v>
      </c>
      <c r="J48" s="36"/>
      <c r="K48" s="36"/>
    </row>
    <row r="49" spans="1:11" ht="19.5" customHeight="1" x14ac:dyDescent="0.45">
      <c r="A49" s="38">
        <v>45997.681568148146</v>
      </c>
      <c r="B49" s="36">
        <v>1072.56</v>
      </c>
      <c r="C49" s="36">
        <v>2.98</v>
      </c>
      <c r="D49" s="60" t="s">
        <v>876</v>
      </c>
      <c r="E49" s="60" t="s">
        <v>876</v>
      </c>
      <c r="F49" s="36">
        <v>4000</v>
      </c>
      <c r="G49" s="36">
        <v>5</v>
      </c>
      <c r="H49" s="36">
        <v>0</v>
      </c>
      <c r="I49" s="36">
        <v>2</v>
      </c>
      <c r="J49" s="36"/>
      <c r="K49" s="36"/>
    </row>
    <row r="50" spans="1:11" ht="19.5" customHeight="1" x14ac:dyDescent="0.45">
      <c r="A50" s="38">
        <v>45997.681568252316</v>
      </c>
      <c r="B50" s="36">
        <v>1098.72</v>
      </c>
      <c r="C50" s="36">
        <v>3.14</v>
      </c>
      <c r="D50" s="60" t="s">
        <v>876</v>
      </c>
      <c r="E50" s="60" t="s">
        <v>876</v>
      </c>
      <c r="F50" s="36">
        <v>4000</v>
      </c>
      <c r="G50" s="36">
        <v>5</v>
      </c>
      <c r="H50" s="36">
        <v>0</v>
      </c>
      <c r="I50" s="36">
        <v>2</v>
      </c>
      <c r="J50" s="36"/>
      <c r="K50" s="36"/>
    </row>
    <row r="51" spans="1:11" ht="19.5" customHeight="1" x14ac:dyDescent="0.45">
      <c r="A51" s="38">
        <v>45997.681568333333</v>
      </c>
      <c r="B51" s="36">
        <v>1124.8800000000001</v>
      </c>
      <c r="C51" s="36">
        <v>3.27</v>
      </c>
      <c r="D51" s="60" t="s">
        <v>876</v>
      </c>
      <c r="E51" s="60" t="s">
        <v>876</v>
      </c>
      <c r="F51" s="36">
        <v>4000</v>
      </c>
      <c r="G51" s="36">
        <v>5</v>
      </c>
      <c r="H51" s="36">
        <v>0</v>
      </c>
      <c r="I51" s="36">
        <v>2</v>
      </c>
      <c r="J51" s="36"/>
      <c r="K51" s="36"/>
    </row>
    <row r="52" spans="1:11" ht="19.5" customHeight="1" x14ac:dyDescent="0.45">
      <c r="A52" s="38">
        <v>45997.681568437503</v>
      </c>
      <c r="B52" s="36">
        <v>1151.4000000000001</v>
      </c>
      <c r="C52" s="36">
        <v>3.39</v>
      </c>
      <c r="D52" s="60" t="s">
        <v>876</v>
      </c>
      <c r="E52" s="60" t="s">
        <v>876</v>
      </c>
      <c r="F52" s="36">
        <v>4000</v>
      </c>
      <c r="G52" s="36">
        <v>5</v>
      </c>
      <c r="H52" s="36">
        <v>0</v>
      </c>
      <c r="I52" s="36">
        <v>2</v>
      </c>
      <c r="J52" s="36"/>
      <c r="K52" s="36"/>
    </row>
    <row r="53" spans="1:11" ht="19.5" customHeight="1" x14ac:dyDescent="0.45">
      <c r="A53" s="38">
        <v>45997.681568518521</v>
      </c>
      <c r="B53" s="36">
        <v>1177.2</v>
      </c>
      <c r="C53" s="36">
        <v>3.51</v>
      </c>
      <c r="D53" s="60" t="s">
        <v>876</v>
      </c>
      <c r="E53" s="60" t="s">
        <v>876</v>
      </c>
      <c r="F53" s="36">
        <v>4000</v>
      </c>
      <c r="G53" s="36">
        <v>5</v>
      </c>
      <c r="H53" s="36">
        <v>0</v>
      </c>
      <c r="I53" s="36">
        <v>2</v>
      </c>
      <c r="J53" s="36"/>
      <c r="K53" s="36"/>
    </row>
    <row r="54" spans="1:11" ht="19.5" customHeight="1" x14ac:dyDescent="0.45">
      <c r="A54" s="38">
        <v>45997.681568622684</v>
      </c>
      <c r="B54" s="36">
        <v>1203.3599999999999</v>
      </c>
      <c r="C54" s="36">
        <v>3.59</v>
      </c>
      <c r="D54" s="60" t="s">
        <v>876</v>
      </c>
      <c r="E54" s="60" t="s">
        <v>876</v>
      </c>
      <c r="F54" s="36">
        <v>4000</v>
      </c>
      <c r="G54" s="36">
        <v>5</v>
      </c>
      <c r="H54" s="36">
        <v>0</v>
      </c>
      <c r="I54" s="36">
        <v>2</v>
      </c>
      <c r="J54" s="36"/>
      <c r="K54" s="36"/>
    </row>
    <row r="55" spans="1:11" ht="19.5" customHeight="1" x14ac:dyDescent="0.45">
      <c r="A55" s="38">
        <v>45997.681568715278</v>
      </c>
      <c r="B55" s="36">
        <v>1229.52</v>
      </c>
      <c r="C55" s="36">
        <v>3.67</v>
      </c>
      <c r="D55" s="60" t="s">
        <v>876</v>
      </c>
      <c r="E55" s="60" t="s">
        <v>876</v>
      </c>
      <c r="F55" s="36">
        <v>4000</v>
      </c>
      <c r="G55" s="36">
        <v>5</v>
      </c>
      <c r="H55" s="36">
        <v>0</v>
      </c>
      <c r="I55" s="36">
        <v>2</v>
      </c>
      <c r="J55" s="36"/>
      <c r="K55" s="36"/>
    </row>
    <row r="56" spans="1:11" ht="19.5" customHeight="1" x14ac:dyDescent="0.45">
      <c r="A56" s="38">
        <v>45997.681568807871</v>
      </c>
      <c r="B56" s="36">
        <v>1255.68</v>
      </c>
      <c r="C56" s="36">
        <v>3.73</v>
      </c>
      <c r="D56" s="60" t="s">
        <v>876</v>
      </c>
      <c r="E56" s="60" t="s">
        <v>876</v>
      </c>
      <c r="F56" s="36">
        <v>4000</v>
      </c>
      <c r="G56" s="36">
        <v>5</v>
      </c>
      <c r="H56" s="36">
        <v>0</v>
      </c>
      <c r="I56" s="36">
        <v>2</v>
      </c>
      <c r="J56" s="36"/>
      <c r="K56" s="36"/>
    </row>
    <row r="57" spans="1:11" ht="19.5" customHeight="1" x14ac:dyDescent="0.45">
      <c r="A57" s="38">
        <v>45997.681568900465</v>
      </c>
      <c r="B57" s="36">
        <v>1281.8399999999999</v>
      </c>
      <c r="C57" s="36">
        <v>3.73</v>
      </c>
      <c r="D57" s="60" t="s">
        <v>876</v>
      </c>
      <c r="E57" s="60" t="s">
        <v>876</v>
      </c>
      <c r="F57" s="36">
        <v>4000</v>
      </c>
      <c r="G57" s="36">
        <v>5</v>
      </c>
      <c r="H57" s="36">
        <v>0</v>
      </c>
      <c r="I57" s="36">
        <v>2</v>
      </c>
      <c r="J57" s="36"/>
      <c r="K57" s="36"/>
    </row>
    <row r="58" spans="1:11" ht="19.5" customHeight="1" x14ac:dyDescent="0.45">
      <c r="A58" s="38">
        <v>45997.681568958331</v>
      </c>
      <c r="B58" s="36">
        <v>1308</v>
      </c>
      <c r="C58" s="36">
        <v>3.65</v>
      </c>
      <c r="D58" s="60" t="s">
        <v>876</v>
      </c>
      <c r="E58" s="60" t="s">
        <v>876</v>
      </c>
      <c r="F58" s="36">
        <v>4000</v>
      </c>
      <c r="G58" s="36">
        <v>5</v>
      </c>
      <c r="H58" s="36">
        <v>0</v>
      </c>
      <c r="I58" s="36">
        <v>2</v>
      </c>
      <c r="J58" s="36"/>
      <c r="K58" s="36"/>
    </row>
    <row r="59" spans="1:11" ht="19.5" customHeight="1" x14ac:dyDescent="0.45">
      <c r="A59" s="38">
        <v>45997.681569050925</v>
      </c>
      <c r="B59" s="36">
        <v>1334.16</v>
      </c>
      <c r="C59" s="36">
        <v>3.45</v>
      </c>
      <c r="D59" s="60" t="s">
        <v>876</v>
      </c>
      <c r="E59" s="60" t="s">
        <v>876</v>
      </c>
      <c r="F59" s="36">
        <v>4000</v>
      </c>
      <c r="G59" s="36">
        <v>5</v>
      </c>
      <c r="H59" s="36">
        <v>0</v>
      </c>
      <c r="I59" s="36">
        <v>2</v>
      </c>
      <c r="J59" s="36"/>
      <c r="K59" s="36"/>
    </row>
    <row r="60" spans="1:11" ht="19.5" customHeight="1" x14ac:dyDescent="0.45">
      <c r="A60" s="38">
        <v>45997.681569143519</v>
      </c>
      <c r="B60" s="36">
        <v>1360.32</v>
      </c>
      <c r="C60" s="36">
        <v>3.08</v>
      </c>
      <c r="D60" s="60" t="s">
        <v>876</v>
      </c>
      <c r="E60" s="60" t="s">
        <v>876</v>
      </c>
      <c r="F60" s="36">
        <v>4000</v>
      </c>
      <c r="G60" s="36">
        <v>5</v>
      </c>
      <c r="H60" s="36">
        <v>0</v>
      </c>
      <c r="I60" s="36">
        <v>2</v>
      </c>
      <c r="J60" s="36"/>
      <c r="K60" s="36"/>
    </row>
    <row r="61" spans="1:11" ht="19.5" customHeight="1" x14ac:dyDescent="0.45">
      <c r="A61" s="38">
        <v>45997.681569236112</v>
      </c>
      <c r="B61" s="36">
        <v>1386.48</v>
      </c>
      <c r="C61" s="36">
        <v>2.4900000000000002</v>
      </c>
      <c r="D61" s="60" t="s">
        <v>876</v>
      </c>
      <c r="E61" s="60" t="s">
        <v>876</v>
      </c>
      <c r="F61" s="36">
        <v>4000</v>
      </c>
      <c r="G61" s="36">
        <v>5</v>
      </c>
      <c r="H61" s="36">
        <v>0</v>
      </c>
      <c r="I61" s="36">
        <v>2</v>
      </c>
      <c r="J61" s="36"/>
      <c r="K61" s="36"/>
    </row>
    <row r="62" spans="1:11" ht="19.5" customHeight="1" x14ac:dyDescent="0.45">
      <c r="A62" s="38">
        <v>45997.681569328706</v>
      </c>
      <c r="B62" s="36">
        <v>1412.64</v>
      </c>
      <c r="C62" s="36">
        <v>1.8</v>
      </c>
      <c r="D62" s="60" t="s">
        <v>876</v>
      </c>
      <c r="E62" s="60" t="s">
        <v>876</v>
      </c>
      <c r="F62" s="36">
        <v>4000</v>
      </c>
      <c r="G62" s="36">
        <v>5</v>
      </c>
      <c r="H62" s="36">
        <v>1</v>
      </c>
      <c r="I62" s="36">
        <v>2</v>
      </c>
      <c r="J62" s="36"/>
      <c r="K62" s="36"/>
    </row>
    <row r="63" spans="1:11" ht="19.5" customHeight="1" x14ac:dyDescent="0.45">
      <c r="A63" s="38">
        <v>45997.681569432869</v>
      </c>
      <c r="B63" s="36">
        <v>1438.8</v>
      </c>
      <c r="C63" s="36">
        <v>1.08</v>
      </c>
      <c r="D63" s="60" t="s">
        <v>876</v>
      </c>
      <c r="E63" s="60" t="s">
        <v>876</v>
      </c>
      <c r="F63" s="36">
        <v>4000</v>
      </c>
      <c r="G63" s="36">
        <v>5</v>
      </c>
      <c r="H63" s="36">
        <v>1</v>
      </c>
      <c r="I63" s="36">
        <v>2</v>
      </c>
      <c r="J63" s="36"/>
      <c r="K63" s="36"/>
    </row>
    <row r="64" spans="1:11" ht="19.5" customHeight="1" x14ac:dyDescent="0.45">
      <c r="A64" s="38">
        <v>45997.681569525463</v>
      </c>
      <c r="B64" s="36">
        <v>1464.96</v>
      </c>
      <c r="C64" s="36">
        <v>0.47</v>
      </c>
      <c r="D64" s="60" t="s">
        <v>876</v>
      </c>
      <c r="E64" s="60" t="s">
        <v>876</v>
      </c>
      <c r="F64" s="36">
        <v>4000</v>
      </c>
      <c r="G64" s="36">
        <v>5</v>
      </c>
      <c r="H64" s="36">
        <v>1</v>
      </c>
      <c r="I64" s="36">
        <v>2</v>
      </c>
      <c r="J64" s="36"/>
      <c r="K64" s="36"/>
    </row>
    <row r="65" spans="1:11" ht="19.5" customHeight="1" x14ac:dyDescent="0.45">
      <c r="A65" s="38">
        <v>45997.681569618057</v>
      </c>
      <c r="B65" s="36">
        <v>1491.12</v>
      </c>
      <c r="C65" s="36">
        <v>0.43</v>
      </c>
      <c r="D65" s="60" t="s">
        <v>876</v>
      </c>
      <c r="E65" s="60" t="s">
        <v>876</v>
      </c>
      <c r="F65" s="36">
        <v>4000</v>
      </c>
      <c r="G65" s="36">
        <v>5</v>
      </c>
      <c r="H65" s="36">
        <v>1</v>
      </c>
      <c r="I65" s="36">
        <v>2</v>
      </c>
      <c r="J65" s="36"/>
      <c r="K65" s="36"/>
    </row>
    <row r="66" spans="1:11" ht="19.5" customHeight="1" x14ac:dyDescent="0.45">
      <c r="A66" s="38">
        <v>45997.68156971065</v>
      </c>
      <c r="B66" s="36">
        <v>1517.28</v>
      </c>
      <c r="C66" s="36">
        <v>0.47</v>
      </c>
      <c r="D66" s="60" t="s">
        <v>876</v>
      </c>
      <c r="E66" s="60" t="s">
        <v>876</v>
      </c>
      <c r="F66" s="36">
        <v>4000</v>
      </c>
      <c r="G66" s="36">
        <v>5</v>
      </c>
      <c r="H66" s="36">
        <v>1</v>
      </c>
      <c r="I66" s="36">
        <v>2</v>
      </c>
      <c r="J66" s="36"/>
      <c r="K66" s="36"/>
    </row>
    <row r="67" spans="1:11" ht="19.5" customHeight="1" x14ac:dyDescent="0.45">
      <c r="A67" s="38">
        <v>45997.681569803244</v>
      </c>
      <c r="B67" s="36">
        <v>1543.44</v>
      </c>
      <c r="C67" s="36">
        <v>0.53</v>
      </c>
      <c r="D67" s="60" t="s">
        <v>876</v>
      </c>
      <c r="E67" s="60" t="s">
        <v>876</v>
      </c>
      <c r="F67" s="36">
        <v>4000</v>
      </c>
      <c r="G67" s="36">
        <v>5</v>
      </c>
      <c r="H67" s="36">
        <v>1</v>
      </c>
      <c r="I67" s="36">
        <v>2</v>
      </c>
      <c r="J67" s="36"/>
      <c r="K67" s="36"/>
    </row>
    <row r="68" spans="1:11" ht="19.5" customHeight="1" x14ac:dyDescent="0.45">
      <c r="A68" s="38">
        <v>45997.681569907407</v>
      </c>
      <c r="B68" s="36">
        <v>1569.6</v>
      </c>
      <c r="C68" s="36">
        <v>0.67</v>
      </c>
      <c r="D68" s="60" t="s">
        <v>876</v>
      </c>
      <c r="E68" s="60" t="s">
        <v>876</v>
      </c>
      <c r="F68" s="36">
        <v>4000</v>
      </c>
      <c r="G68" s="36">
        <v>5</v>
      </c>
      <c r="H68" s="36">
        <v>1</v>
      </c>
      <c r="I68" s="36">
        <v>2</v>
      </c>
      <c r="J68" s="36"/>
      <c r="K68" s="36"/>
    </row>
    <row r="69" spans="1:11" ht="19.5" customHeight="1" x14ac:dyDescent="0.45">
      <c r="A69" s="38">
        <v>45997.681570000001</v>
      </c>
      <c r="B69" s="36">
        <v>1595.76</v>
      </c>
      <c r="C69" s="36">
        <v>0.86</v>
      </c>
      <c r="D69" s="60" t="s">
        <v>876</v>
      </c>
      <c r="E69" s="60" t="s">
        <v>876</v>
      </c>
      <c r="F69" s="36">
        <v>4000</v>
      </c>
      <c r="G69" s="36">
        <v>5</v>
      </c>
      <c r="H69" s="36">
        <v>1</v>
      </c>
      <c r="I69" s="36">
        <v>2</v>
      </c>
      <c r="J69" s="36"/>
      <c r="K69" s="36"/>
    </row>
    <row r="70" spans="1:11" ht="19.5" customHeight="1" x14ac:dyDescent="0.45">
      <c r="A70" s="38">
        <v>45997.681570092594</v>
      </c>
      <c r="B70" s="36">
        <v>1621.92</v>
      </c>
      <c r="C70" s="36">
        <v>1.1200000000000001</v>
      </c>
      <c r="D70" s="60" t="s">
        <v>876</v>
      </c>
      <c r="E70" s="60" t="s">
        <v>876</v>
      </c>
      <c r="F70" s="36">
        <v>4000</v>
      </c>
      <c r="G70" s="36">
        <v>5</v>
      </c>
      <c r="H70" s="36">
        <v>1</v>
      </c>
      <c r="I70" s="36">
        <v>2</v>
      </c>
      <c r="J70" s="36"/>
      <c r="K70" s="36"/>
    </row>
    <row r="71" spans="1:11" ht="19.5" customHeight="1" x14ac:dyDescent="0.45">
      <c r="A71" s="38">
        <v>45997.681570185188</v>
      </c>
      <c r="B71" s="36">
        <v>1648.8</v>
      </c>
      <c r="C71" s="36">
        <v>1.39</v>
      </c>
      <c r="D71" s="60" t="s">
        <v>876</v>
      </c>
      <c r="E71" s="60" t="s">
        <v>876</v>
      </c>
      <c r="F71" s="36">
        <v>4000</v>
      </c>
      <c r="G71" s="36">
        <v>5</v>
      </c>
      <c r="H71" s="36">
        <v>1</v>
      </c>
      <c r="I71" s="36">
        <v>2</v>
      </c>
      <c r="J71" s="36"/>
      <c r="K71" s="36"/>
    </row>
    <row r="72" spans="1:11" ht="19.5" customHeight="1" x14ac:dyDescent="0.45">
      <c r="A72" s="38">
        <v>45997.681570277775</v>
      </c>
      <c r="B72" s="36">
        <v>1674.24</v>
      </c>
      <c r="C72" s="36">
        <v>1.65</v>
      </c>
      <c r="D72" s="60" t="s">
        <v>876</v>
      </c>
      <c r="E72" s="60" t="s">
        <v>876</v>
      </c>
      <c r="F72" s="36">
        <v>4000</v>
      </c>
      <c r="G72" s="36">
        <v>5</v>
      </c>
      <c r="H72" s="36">
        <v>1</v>
      </c>
      <c r="I72" s="36">
        <v>2</v>
      </c>
      <c r="J72" s="36"/>
      <c r="K72" s="36"/>
    </row>
    <row r="73" spans="1:11" ht="19.5" customHeight="1" x14ac:dyDescent="0.45">
      <c r="A73" s="38">
        <v>45997.681570370369</v>
      </c>
      <c r="B73" s="36">
        <v>1700.4</v>
      </c>
      <c r="C73" s="36">
        <v>1.9</v>
      </c>
      <c r="D73" s="60" t="s">
        <v>876</v>
      </c>
      <c r="E73" s="60" t="s">
        <v>876</v>
      </c>
      <c r="F73" s="36">
        <v>4000</v>
      </c>
      <c r="G73" s="36">
        <v>5</v>
      </c>
      <c r="H73" s="36">
        <v>1</v>
      </c>
      <c r="I73" s="36">
        <v>2</v>
      </c>
      <c r="J73" s="36"/>
      <c r="K73" s="36"/>
    </row>
    <row r="74" spans="1:11" ht="19.5" customHeight="1" x14ac:dyDescent="0.45">
      <c r="A74" s="38">
        <v>45997.681570462963</v>
      </c>
      <c r="B74" s="36">
        <v>1726.56</v>
      </c>
      <c r="C74" s="36">
        <v>2.16</v>
      </c>
      <c r="D74" s="60" t="s">
        <v>876</v>
      </c>
      <c r="E74" s="60" t="s">
        <v>876</v>
      </c>
      <c r="F74" s="36">
        <v>4000</v>
      </c>
      <c r="G74" s="36">
        <v>5</v>
      </c>
      <c r="H74" s="36">
        <v>0</v>
      </c>
      <c r="I74" s="36">
        <v>3</v>
      </c>
      <c r="J74" s="36"/>
      <c r="K74" s="36"/>
    </row>
    <row r="75" spans="1:11" ht="19.5" customHeight="1" x14ac:dyDescent="0.45">
      <c r="A75" s="38">
        <v>45997.681570555556</v>
      </c>
      <c r="B75" s="36">
        <v>1752.72</v>
      </c>
      <c r="C75" s="36">
        <v>2.37</v>
      </c>
      <c r="D75" s="60" t="s">
        <v>876</v>
      </c>
      <c r="E75" s="60" t="s">
        <v>876</v>
      </c>
      <c r="F75" s="36">
        <v>4000</v>
      </c>
      <c r="G75" s="36">
        <v>5</v>
      </c>
      <c r="H75" s="36">
        <v>0</v>
      </c>
      <c r="I75" s="36">
        <v>3</v>
      </c>
      <c r="J75" s="36"/>
      <c r="K75" s="36"/>
    </row>
    <row r="76" spans="1:11" ht="19.5" customHeight="1" x14ac:dyDescent="0.45">
      <c r="A76" s="38">
        <v>45997.68157064815</v>
      </c>
      <c r="B76" s="36">
        <v>1778.88</v>
      </c>
      <c r="C76" s="36">
        <v>2.59</v>
      </c>
      <c r="D76" s="60" t="s">
        <v>876</v>
      </c>
      <c r="E76" s="60" t="s">
        <v>876</v>
      </c>
      <c r="F76" s="36">
        <v>4000</v>
      </c>
      <c r="G76" s="36">
        <v>5</v>
      </c>
      <c r="H76" s="36">
        <v>0</v>
      </c>
      <c r="I76" s="36">
        <v>3</v>
      </c>
      <c r="J76" s="36"/>
      <c r="K76" s="36"/>
    </row>
    <row r="77" spans="1:11" ht="19.5" customHeight="1" x14ac:dyDescent="0.45">
      <c r="A77" s="38">
        <v>45997.681570752313</v>
      </c>
      <c r="B77" s="36">
        <v>1805.4</v>
      </c>
      <c r="C77" s="36">
        <v>2.76</v>
      </c>
      <c r="D77" s="60" t="s">
        <v>876</v>
      </c>
      <c r="E77" s="60" t="s">
        <v>876</v>
      </c>
      <c r="F77" s="36">
        <v>4000</v>
      </c>
      <c r="G77" s="36">
        <v>5</v>
      </c>
      <c r="H77" s="36">
        <v>0</v>
      </c>
      <c r="I77" s="36">
        <v>3</v>
      </c>
      <c r="J77" s="36"/>
      <c r="K77" s="36"/>
    </row>
    <row r="78" spans="1:11" ht="19.5" customHeight="1" x14ac:dyDescent="0.45">
      <c r="A78" s="38">
        <v>45997.681570844907</v>
      </c>
      <c r="B78" s="36">
        <v>1831.2</v>
      </c>
      <c r="C78" s="36">
        <v>2.94</v>
      </c>
      <c r="D78" s="60" t="s">
        <v>876</v>
      </c>
      <c r="E78" s="60" t="s">
        <v>876</v>
      </c>
      <c r="F78" s="36">
        <v>4000</v>
      </c>
      <c r="G78" s="36">
        <v>5</v>
      </c>
      <c r="H78" s="36">
        <v>0</v>
      </c>
      <c r="I78" s="36">
        <v>3</v>
      </c>
      <c r="J78" s="36"/>
      <c r="K78" s="36"/>
    </row>
    <row r="79" spans="1:11" ht="19.5" customHeight="1" x14ac:dyDescent="0.45">
      <c r="A79" s="38">
        <v>45997.681570937501</v>
      </c>
      <c r="B79" s="36">
        <v>1857.36</v>
      </c>
      <c r="C79" s="36">
        <v>3.1</v>
      </c>
      <c r="D79" s="60" t="s">
        <v>876</v>
      </c>
      <c r="E79" s="60" t="s">
        <v>876</v>
      </c>
      <c r="F79" s="36">
        <v>4000</v>
      </c>
      <c r="G79" s="36">
        <v>5</v>
      </c>
      <c r="H79" s="36">
        <v>0</v>
      </c>
      <c r="I79" s="36">
        <v>3</v>
      </c>
      <c r="J79" s="36"/>
      <c r="K79" s="36"/>
    </row>
    <row r="80" spans="1:11" ht="19.5" customHeight="1" x14ac:dyDescent="0.45">
      <c r="A80" s="38">
        <v>45997.681571041663</v>
      </c>
      <c r="B80" s="36">
        <v>1883.52</v>
      </c>
      <c r="C80" s="36">
        <v>3.22</v>
      </c>
      <c r="D80" s="60" t="s">
        <v>876</v>
      </c>
      <c r="E80" s="60" t="s">
        <v>876</v>
      </c>
      <c r="F80" s="36">
        <v>4000</v>
      </c>
      <c r="G80" s="36">
        <v>5</v>
      </c>
      <c r="H80" s="36">
        <v>0</v>
      </c>
      <c r="I80" s="36">
        <v>3</v>
      </c>
      <c r="J80" s="36"/>
      <c r="K80" s="36"/>
    </row>
    <row r="81" spans="1:11" ht="19.5" customHeight="1" x14ac:dyDescent="0.45">
      <c r="A81" s="38">
        <v>45997.681571134257</v>
      </c>
      <c r="B81" s="36">
        <v>1909.68</v>
      </c>
      <c r="C81" s="36">
        <v>3.35</v>
      </c>
      <c r="D81" s="60" t="s">
        <v>876</v>
      </c>
      <c r="E81" s="60" t="s">
        <v>876</v>
      </c>
      <c r="F81" s="36">
        <v>4000</v>
      </c>
      <c r="G81" s="36">
        <v>5</v>
      </c>
      <c r="H81" s="36">
        <v>0</v>
      </c>
      <c r="I81" s="36">
        <v>3</v>
      </c>
      <c r="J81" s="36"/>
      <c r="K81" s="36"/>
    </row>
    <row r="82" spans="1:11" ht="19.5" customHeight="1" x14ac:dyDescent="0.45">
      <c r="A82" s="38">
        <v>45997.681571215275</v>
      </c>
      <c r="B82" s="36">
        <v>1935.84</v>
      </c>
      <c r="C82" s="36">
        <v>3.47</v>
      </c>
      <c r="D82" s="60" t="s">
        <v>876</v>
      </c>
      <c r="E82" s="60" t="s">
        <v>876</v>
      </c>
      <c r="F82" s="36">
        <v>4000</v>
      </c>
      <c r="G82" s="36">
        <v>5</v>
      </c>
      <c r="H82" s="36">
        <v>0</v>
      </c>
      <c r="I82" s="36">
        <v>3</v>
      </c>
      <c r="J82" s="36"/>
      <c r="K82" s="36"/>
    </row>
    <row r="83" spans="1:11" ht="19.5" customHeight="1" x14ac:dyDescent="0.45">
      <c r="A83" s="38">
        <v>45997.681571273148</v>
      </c>
      <c r="B83" s="36">
        <v>1962</v>
      </c>
      <c r="C83" s="36">
        <v>3.57</v>
      </c>
      <c r="D83" s="60" t="s">
        <v>876</v>
      </c>
      <c r="E83" s="60" t="s">
        <v>876</v>
      </c>
      <c r="F83" s="36">
        <v>4000</v>
      </c>
      <c r="G83" s="36">
        <v>5</v>
      </c>
      <c r="H83" s="36">
        <v>0</v>
      </c>
      <c r="I83" s="36">
        <v>3</v>
      </c>
      <c r="J83" s="36"/>
      <c r="K83" s="36"/>
    </row>
    <row r="84" spans="1:11" ht="19.5" customHeight="1" x14ac:dyDescent="0.45">
      <c r="A84" s="38">
        <v>45997.681571365742</v>
      </c>
      <c r="B84" s="36">
        <v>1988.16</v>
      </c>
      <c r="C84" s="36">
        <v>3.65</v>
      </c>
      <c r="D84" s="60" t="s">
        <v>876</v>
      </c>
      <c r="E84" s="60" t="s">
        <v>876</v>
      </c>
      <c r="F84" s="36">
        <v>4000</v>
      </c>
      <c r="G84" s="36">
        <v>5</v>
      </c>
      <c r="H84" s="36">
        <v>0</v>
      </c>
      <c r="I84" s="36">
        <v>3</v>
      </c>
      <c r="J84" s="36"/>
      <c r="K84" s="36"/>
    </row>
    <row r="85" spans="1:11" ht="19.5" customHeight="1" x14ac:dyDescent="0.45">
      <c r="A85" s="38">
        <v>45997.681571469904</v>
      </c>
      <c r="B85" s="36">
        <v>2014.32</v>
      </c>
      <c r="C85" s="36">
        <v>3.71</v>
      </c>
      <c r="D85" s="60" t="s">
        <v>876</v>
      </c>
      <c r="E85" s="60" t="s">
        <v>876</v>
      </c>
      <c r="F85" s="36">
        <v>4000</v>
      </c>
      <c r="G85" s="36">
        <v>5</v>
      </c>
      <c r="H85" s="36">
        <v>0</v>
      </c>
      <c r="I85" s="36">
        <v>3</v>
      </c>
      <c r="J85" s="36"/>
      <c r="K85" s="36"/>
    </row>
    <row r="86" spans="1:11" ht="19.5" customHeight="1" x14ac:dyDescent="0.45">
      <c r="A86" s="38">
        <v>45997.681571574074</v>
      </c>
      <c r="B86" s="36">
        <v>2040.48</v>
      </c>
      <c r="C86" s="36">
        <v>3.73</v>
      </c>
      <c r="D86" s="60" t="s">
        <v>876</v>
      </c>
      <c r="E86" s="60" t="s">
        <v>876</v>
      </c>
      <c r="F86" s="36">
        <v>4000</v>
      </c>
      <c r="G86" s="36">
        <v>5</v>
      </c>
      <c r="H86" s="36">
        <v>0</v>
      </c>
      <c r="I86" s="36">
        <v>3</v>
      </c>
      <c r="J86" s="36"/>
      <c r="K86" s="36"/>
    </row>
    <row r="87" spans="1:11" ht="19.5" customHeight="1" x14ac:dyDescent="0.45">
      <c r="A87" s="38">
        <v>45997.681571655092</v>
      </c>
      <c r="B87" s="36">
        <v>2066.64</v>
      </c>
      <c r="C87" s="36">
        <v>3.69</v>
      </c>
      <c r="D87" s="60" t="s">
        <v>876</v>
      </c>
      <c r="E87" s="60" t="s">
        <v>876</v>
      </c>
      <c r="F87" s="36">
        <v>4000</v>
      </c>
      <c r="G87" s="36">
        <v>5</v>
      </c>
      <c r="H87" s="36">
        <v>0</v>
      </c>
      <c r="I87" s="36">
        <v>3</v>
      </c>
      <c r="J87" s="36"/>
      <c r="K87" s="36"/>
    </row>
    <row r="88" spans="1:11" ht="19.5" customHeight="1" x14ac:dyDescent="0.45">
      <c r="A88" s="38">
        <v>45997.681571759262</v>
      </c>
      <c r="B88" s="36">
        <v>2092.8000000000002</v>
      </c>
      <c r="C88" s="36">
        <v>3.53</v>
      </c>
      <c r="D88" s="60" t="s">
        <v>876</v>
      </c>
      <c r="E88" s="60" t="s">
        <v>876</v>
      </c>
      <c r="F88" s="36">
        <v>4000</v>
      </c>
      <c r="G88" s="36">
        <v>5</v>
      </c>
      <c r="H88" s="36">
        <v>0</v>
      </c>
      <c r="I88" s="36">
        <v>3</v>
      </c>
      <c r="J88" s="36"/>
      <c r="K88" s="36"/>
    </row>
    <row r="89" spans="1:11" ht="19.5" customHeight="1" x14ac:dyDescent="0.45">
      <c r="A89" s="38">
        <v>45997.681571863424</v>
      </c>
      <c r="B89" s="36">
        <v>2118.96</v>
      </c>
      <c r="C89" s="36">
        <v>3.18</v>
      </c>
      <c r="D89" s="60" t="s">
        <v>876</v>
      </c>
      <c r="E89" s="60" t="s">
        <v>876</v>
      </c>
      <c r="F89" s="36">
        <v>4000</v>
      </c>
      <c r="G89" s="36">
        <v>5</v>
      </c>
      <c r="H89" s="36">
        <v>0</v>
      </c>
      <c r="I89" s="36">
        <v>3</v>
      </c>
      <c r="J89" s="36"/>
      <c r="K89" s="36"/>
    </row>
    <row r="90" spans="1:11" ht="19.5" customHeight="1" x14ac:dyDescent="0.45">
      <c r="A90" s="38">
        <v>45997.681571956018</v>
      </c>
      <c r="B90" s="36">
        <v>2145.12</v>
      </c>
      <c r="C90" s="36">
        <v>2.65</v>
      </c>
      <c r="D90" s="60" t="s">
        <v>876</v>
      </c>
      <c r="E90" s="60" t="s">
        <v>876</v>
      </c>
      <c r="F90" s="36">
        <v>4000</v>
      </c>
      <c r="G90" s="36">
        <v>5</v>
      </c>
      <c r="H90" s="36">
        <v>0</v>
      </c>
      <c r="I90" s="36">
        <v>3</v>
      </c>
      <c r="J90" s="36"/>
      <c r="K90" s="36"/>
    </row>
    <row r="91" spans="1:11" ht="19.5" customHeight="1" x14ac:dyDescent="0.45">
      <c r="A91" s="38">
        <v>45997.681572048612</v>
      </c>
      <c r="B91" s="36">
        <v>2171.2800000000002</v>
      </c>
      <c r="C91" s="36">
        <v>1.96</v>
      </c>
      <c r="D91" s="60" t="s">
        <v>876</v>
      </c>
      <c r="E91" s="60" t="s">
        <v>876</v>
      </c>
      <c r="F91" s="36">
        <v>4000</v>
      </c>
      <c r="G91" s="36">
        <v>5</v>
      </c>
      <c r="H91" s="36">
        <v>1</v>
      </c>
      <c r="I91" s="36">
        <v>3</v>
      </c>
      <c r="J91" s="36"/>
      <c r="K91" s="36"/>
    </row>
    <row r="92" spans="1:11" ht="19.5" customHeight="1" x14ac:dyDescent="0.45">
      <c r="A92" s="38">
        <v>45997.681572141206</v>
      </c>
      <c r="B92" s="36">
        <v>2197.44</v>
      </c>
      <c r="C92" s="36">
        <v>1.24</v>
      </c>
      <c r="D92" s="60" t="s">
        <v>876</v>
      </c>
      <c r="E92" s="60" t="s">
        <v>876</v>
      </c>
      <c r="F92" s="36">
        <v>4000</v>
      </c>
      <c r="G92" s="36">
        <v>5</v>
      </c>
      <c r="H92" s="36">
        <v>1</v>
      </c>
      <c r="I92" s="36">
        <v>3</v>
      </c>
      <c r="J92" s="36"/>
      <c r="K92" s="36"/>
    </row>
    <row r="93" spans="1:11" ht="19.5" customHeight="1" x14ac:dyDescent="0.45">
      <c r="A93" s="38">
        <v>45997.6815722338</v>
      </c>
      <c r="B93" s="36">
        <v>2223.6</v>
      </c>
      <c r="C93" s="36">
        <v>0.56999999999999995</v>
      </c>
      <c r="D93" s="60" t="s">
        <v>876</v>
      </c>
      <c r="E93" s="60" t="s">
        <v>876</v>
      </c>
      <c r="F93" s="36">
        <v>4000</v>
      </c>
      <c r="G93" s="36">
        <v>5</v>
      </c>
      <c r="H93" s="36">
        <v>1</v>
      </c>
      <c r="I93" s="36">
        <v>3</v>
      </c>
      <c r="J93" s="36"/>
      <c r="K93" s="36"/>
    </row>
    <row r="94" spans="1:11" ht="19.5" customHeight="1" x14ac:dyDescent="0.45">
      <c r="A94" s="38">
        <v>45997.681572326386</v>
      </c>
      <c r="B94" s="36">
        <v>2249.7600000000002</v>
      </c>
      <c r="C94" s="36">
        <v>0.43</v>
      </c>
      <c r="D94" s="60" t="s">
        <v>876</v>
      </c>
      <c r="E94" s="60" t="s">
        <v>876</v>
      </c>
      <c r="F94" s="36">
        <v>4000</v>
      </c>
      <c r="G94" s="36">
        <v>5</v>
      </c>
      <c r="H94" s="36">
        <v>1</v>
      </c>
      <c r="I94" s="36">
        <v>3</v>
      </c>
      <c r="J94" s="36"/>
      <c r="K94" s="36"/>
    </row>
    <row r="95" spans="1:11" ht="19.5" customHeight="1" x14ac:dyDescent="0.45">
      <c r="A95" s="38">
        <v>45997.68157241898</v>
      </c>
      <c r="B95" s="36">
        <v>2275.92</v>
      </c>
      <c r="C95" s="36">
        <v>0.45</v>
      </c>
      <c r="D95" s="60" t="s">
        <v>876</v>
      </c>
      <c r="E95" s="60" t="s">
        <v>876</v>
      </c>
      <c r="F95" s="36">
        <v>4000</v>
      </c>
      <c r="G95" s="36">
        <v>5</v>
      </c>
      <c r="H95" s="36">
        <v>1</v>
      </c>
      <c r="I95" s="36">
        <v>3</v>
      </c>
      <c r="J95" s="36"/>
      <c r="K95" s="36"/>
    </row>
    <row r="96" spans="1:11" ht="19.5" customHeight="1" x14ac:dyDescent="0.45">
      <c r="A96" s="38">
        <v>45997.681572511574</v>
      </c>
      <c r="B96" s="36">
        <v>2302.8000000000002</v>
      </c>
      <c r="C96" s="36">
        <v>0.51</v>
      </c>
      <c r="D96" s="60" t="s">
        <v>876</v>
      </c>
      <c r="E96" s="60" t="s">
        <v>876</v>
      </c>
      <c r="F96" s="36">
        <v>4000</v>
      </c>
      <c r="G96" s="36">
        <v>5</v>
      </c>
      <c r="H96" s="36">
        <v>1</v>
      </c>
      <c r="I96" s="36">
        <v>3</v>
      </c>
      <c r="J96" s="36"/>
      <c r="K96" s="36"/>
    </row>
    <row r="97" spans="1:11" ht="19.5" customHeight="1" x14ac:dyDescent="0.45">
      <c r="A97" s="38">
        <v>45997.681572615744</v>
      </c>
      <c r="B97" s="36">
        <v>2328.2399999999998</v>
      </c>
      <c r="C97" s="36">
        <v>0.63</v>
      </c>
      <c r="D97" s="60" t="s">
        <v>876</v>
      </c>
      <c r="E97" s="60" t="s">
        <v>876</v>
      </c>
      <c r="F97" s="36">
        <v>4000</v>
      </c>
      <c r="G97" s="36">
        <v>5</v>
      </c>
      <c r="H97" s="36">
        <v>1</v>
      </c>
      <c r="I97" s="36">
        <v>3</v>
      </c>
      <c r="J97" s="36"/>
      <c r="K97" s="36"/>
    </row>
    <row r="98" spans="1:11" ht="19.5" customHeight="1" x14ac:dyDescent="0.45">
      <c r="A98" s="38">
        <v>45997.681572719906</v>
      </c>
      <c r="B98" s="36">
        <v>2354.4</v>
      </c>
      <c r="C98" s="36">
        <v>0.82</v>
      </c>
      <c r="D98" s="60" t="s">
        <v>876</v>
      </c>
      <c r="E98" s="60" t="s">
        <v>876</v>
      </c>
      <c r="F98" s="36">
        <v>4000</v>
      </c>
      <c r="G98" s="36">
        <v>5</v>
      </c>
      <c r="H98" s="36">
        <v>1</v>
      </c>
      <c r="I98" s="36">
        <v>3</v>
      </c>
      <c r="J98" s="36"/>
      <c r="K98" s="36"/>
    </row>
    <row r="99" spans="1:11" ht="19.5" customHeight="1" x14ac:dyDescent="0.45">
      <c r="A99" s="38">
        <v>45997.681572800924</v>
      </c>
      <c r="B99" s="36">
        <v>2380.56</v>
      </c>
      <c r="C99" s="36">
        <v>1.06</v>
      </c>
      <c r="D99" s="60" t="s">
        <v>876</v>
      </c>
      <c r="E99" s="60" t="s">
        <v>876</v>
      </c>
      <c r="F99" s="36">
        <v>4000</v>
      </c>
      <c r="G99" s="36">
        <v>5</v>
      </c>
      <c r="H99" s="36">
        <v>1</v>
      </c>
      <c r="I99" s="36">
        <v>3</v>
      </c>
      <c r="J99" s="36"/>
      <c r="K99" s="36"/>
    </row>
    <row r="100" spans="1:11" ht="19.5" customHeight="1" x14ac:dyDescent="0.45">
      <c r="A100" s="38">
        <v>45997.681572893518</v>
      </c>
      <c r="B100" s="36">
        <v>2406.7199999999998</v>
      </c>
      <c r="C100" s="36">
        <v>1.31</v>
      </c>
      <c r="D100" s="60" t="s">
        <v>876</v>
      </c>
      <c r="E100" s="60" t="s">
        <v>876</v>
      </c>
      <c r="F100" s="36">
        <v>4000</v>
      </c>
      <c r="G100" s="36">
        <v>5</v>
      </c>
      <c r="H100" s="36">
        <v>1</v>
      </c>
      <c r="I100" s="36">
        <v>3</v>
      </c>
      <c r="J100" s="36"/>
      <c r="K100" s="36"/>
    </row>
    <row r="101" spans="1:11" ht="19.5" customHeight="1" x14ac:dyDescent="0.45">
      <c r="A101" s="38">
        <v>45997.681573032409</v>
      </c>
      <c r="B101" s="36">
        <v>2432.88</v>
      </c>
      <c r="C101" s="36">
        <v>1.59</v>
      </c>
      <c r="D101" s="60" t="s">
        <v>876</v>
      </c>
      <c r="E101" s="60" t="s">
        <v>876</v>
      </c>
      <c r="F101" s="36">
        <v>4000</v>
      </c>
      <c r="G101" s="36">
        <v>5</v>
      </c>
      <c r="H101" s="36">
        <v>1</v>
      </c>
      <c r="I101" s="36">
        <v>3</v>
      </c>
      <c r="J101" s="36"/>
      <c r="K101" s="36"/>
    </row>
    <row r="102" spans="1:11" ht="19.5" customHeight="1" x14ac:dyDescent="0.45">
      <c r="A102" s="38">
        <v>45997.681573101851</v>
      </c>
      <c r="B102" s="36">
        <v>2459.4</v>
      </c>
      <c r="C102" s="36">
        <v>1.84</v>
      </c>
      <c r="D102" s="60" t="s">
        <v>876</v>
      </c>
      <c r="E102" s="60" t="s">
        <v>876</v>
      </c>
      <c r="F102" s="36">
        <v>4000</v>
      </c>
      <c r="G102" s="36">
        <v>5</v>
      </c>
      <c r="H102" s="36">
        <v>1</v>
      </c>
      <c r="I102" s="36">
        <v>3</v>
      </c>
      <c r="J102" s="36"/>
      <c r="K102" s="36"/>
    </row>
    <row r="103" spans="1:11" ht="19.5" customHeight="1" x14ac:dyDescent="0.45">
      <c r="A103" s="38">
        <v>45997.6815731713</v>
      </c>
      <c r="B103" s="36">
        <v>2485.1999999999998</v>
      </c>
      <c r="C103" s="36">
        <v>2.1</v>
      </c>
      <c r="D103" s="60" t="s">
        <v>876</v>
      </c>
      <c r="E103" s="60" t="s">
        <v>876</v>
      </c>
      <c r="F103" s="36">
        <v>4000</v>
      </c>
      <c r="G103" s="36">
        <v>5</v>
      </c>
      <c r="H103" s="36">
        <v>0</v>
      </c>
      <c r="I103" s="36">
        <v>4</v>
      </c>
      <c r="J103" s="36"/>
      <c r="K103" s="36"/>
    </row>
    <row r="104" spans="1:11" ht="19.5" customHeight="1" x14ac:dyDescent="0.45">
      <c r="A104" s="38">
        <v>45997.681573275462</v>
      </c>
      <c r="B104" s="36">
        <v>2511.36</v>
      </c>
      <c r="C104" s="36">
        <v>2.33</v>
      </c>
      <c r="D104" s="60" t="s">
        <v>876</v>
      </c>
      <c r="E104" s="60" t="s">
        <v>876</v>
      </c>
      <c r="F104" s="36">
        <v>4000</v>
      </c>
      <c r="G104" s="36">
        <v>5</v>
      </c>
      <c r="H104" s="36">
        <v>0</v>
      </c>
      <c r="I104" s="36">
        <v>4</v>
      </c>
      <c r="J104" s="36"/>
      <c r="K104" s="36"/>
    </row>
    <row r="105" spans="1:11" ht="19.5" customHeight="1" x14ac:dyDescent="0.45">
      <c r="A105" s="38">
        <v>45997.68157335648</v>
      </c>
      <c r="B105" s="36">
        <v>2537.52</v>
      </c>
      <c r="C105" s="36">
        <v>2.5299999999999998</v>
      </c>
      <c r="D105" s="60" t="s">
        <v>876</v>
      </c>
      <c r="E105" s="60" t="s">
        <v>876</v>
      </c>
      <c r="F105" s="36">
        <v>4000</v>
      </c>
      <c r="G105" s="36">
        <v>5</v>
      </c>
      <c r="H105" s="36">
        <v>0</v>
      </c>
      <c r="I105" s="36">
        <v>4</v>
      </c>
      <c r="J105" s="36"/>
      <c r="K105" s="36"/>
    </row>
    <row r="106" spans="1:11" ht="19.5" customHeight="1" x14ac:dyDescent="0.45">
      <c r="A106" s="38">
        <v>45997.681573449074</v>
      </c>
      <c r="B106" s="36">
        <v>2563.6799999999998</v>
      </c>
      <c r="C106" s="36">
        <v>2.73</v>
      </c>
      <c r="D106" s="60" t="s">
        <v>876</v>
      </c>
      <c r="E106" s="60" t="s">
        <v>876</v>
      </c>
      <c r="F106" s="36">
        <v>4000</v>
      </c>
      <c r="G106" s="36">
        <v>5</v>
      </c>
      <c r="H106" s="36">
        <v>0</v>
      </c>
      <c r="I106" s="36">
        <v>4</v>
      </c>
      <c r="J106" s="36"/>
      <c r="K106" s="36"/>
    </row>
    <row r="107" spans="1:11" ht="19.5" customHeight="1" x14ac:dyDescent="0.45">
      <c r="A107" s="38">
        <v>45997.681573553244</v>
      </c>
      <c r="B107" s="36">
        <v>2589.84</v>
      </c>
      <c r="C107" s="36">
        <v>2.9</v>
      </c>
      <c r="D107" s="60" t="s">
        <v>876</v>
      </c>
      <c r="E107" s="60" t="s">
        <v>876</v>
      </c>
      <c r="F107" s="36">
        <v>4000</v>
      </c>
      <c r="G107" s="36">
        <v>5</v>
      </c>
      <c r="H107" s="36">
        <v>0</v>
      </c>
      <c r="I107" s="36">
        <v>4</v>
      </c>
      <c r="J107" s="36"/>
      <c r="K107" s="36"/>
    </row>
    <row r="108" spans="1:11" ht="19.5" customHeight="1" x14ac:dyDescent="0.45">
      <c r="A108" s="38">
        <v>45997.681573726855</v>
      </c>
      <c r="B108" s="36">
        <v>2616</v>
      </c>
      <c r="C108" s="36">
        <v>3.06</v>
      </c>
      <c r="D108" s="60" t="s">
        <v>876</v>
      </c>
      <c r="E108" s="60" t="s">
        <v>876</v>
      </c>
      <c r="F108" s="36">
        <v>4000</v>
      </c>
      <c r="G108" s="36">
        <v>5</v>
      </c>
      <c r="H108" s="36">
        <v>0</v>
      </c>
      <c r="I108" s="36">
        <v>4</v>
      </c>
      <c r="J108" s="36"/>
      <c r="K108" s="36"/>
    </row>
    <row r="109" spans="1:11" ht="19.5" customHeight="1" x14ac:dyDescent="0.45">
      <c r="A109" s="38">
        <v>45997.68157375</v>
      </c>
      <c r="B109" s="36">
        <v>2642.16</v>
      </c>
      <c r="C109" s="36">
        <v>3.2</v>
      </c>
      <c r="D109" s="60" t="s">
        <v>876</v>
      </c>
      <c r="E109" s="60" t="s">
        <v>876</v>
      </c>
      <c r="F109" s="36">
        <v>4000</v>
      </c>
      <c r="G109" s="36">
        <v>5</v>
      </c>
      <c r="H109" s="36">
        <v>0</v>
      </c>
      <c r="I109" s="36">
        <v>4</v>
      </c>
      <c r="J109" s="36"/>
      <c r="K109" s="36"/>
    </row>
    <row r="110" spans="1:11" ht="19.5" customHeight="1" x14ac:dyDescent="0.45">
      <c r="A110" s="38">
        <v>45997.681573796297</v>
      </c>
      <c r="B110" s="36">
        <v>2668.32</v>
      </c>
      <c r="C110" s="36">
        <v>3.31</v>
      </c>
      <c r="D110" s="60" t="s">
        <v>876</v>
      </c>
      <c r="E110" s="60" t="s">
        <v>876</v>
      </c>
      <c r="F110" s="36">
        <v>4000</v>
      </c>
      <c r="G110" s="36">
        <v>5</v>
      </c>
      <c r="H110" s="36">
        <v>0</v>
      </c>
      <c r="I110" s="36">
        <v>4</v>
      </c>
      <c r="J110" s="36"/>
      <c r="K110" s="36"/>
    </row>
    <row r="111" spans="1:11" ht="19.5" customHeight="1" x14ac:dyDescent="0.45">
      <c r="A111" s="38">
        <v>45997.681573912036</v>
      </c>
      <c r="B111" s="36">
        <v>2694.48</v>
      </c>
      <c r="C111" s="36">
        <v>3.43</v>
      </c>
      <c r="D111" s="60" t="s">
        <v>876</v>
      </c>
      <c r="E111" s="60" t="s">
        <v>876</v>
      </c>
      <c r="F111" s="36">
        <v>4000</v>
      </c>
      <c r="G111" s="36">
        <v>5</v>
      </c>
      <c r="H111" s="36">
        <v>0</v>
      </c>
      <c r="I111" s="36">
        <v>4</v>
      </c>
      <c r="J111" s="36"/>
      <c r="K111" s="36"/>
    </row>
    <row r="112" spans="1:11" ht="19.5" customHeight="1" x14ac:dyDescent="0.45">
      <c r="A112" s="38">
        <v>45997.681573993053</v>
      </c>
      <c r="B112" s="36">
        <v>2720.64</v>
      </c>
      <c r="C112" s="36">
        <v>3.55</v>
      </c>
      <c r="D112" s="60" t="s">
        <v>876</v>
      </c>
      <c r="E112" s="60" t="s">
        <v>876</v>
      </c>
      <c r="F112" s="36">
        <v>4000</v>
      </c>
      <c r="G112" s="36">
        <v>5</v>
      </c>
      <c r="H112" s="36">
        <v>0</v>
      </c>
      <c r="I112" s="36">
        <v>4</v>
      </c>
      <c r="J112" s="36"/>
      <c r="K112" s="36"/>
    </row>
    <row r="113" spans="1:11" ht="19.5" customHeight="1" x14ac:dyDescent="0.45">
      <c r="A113" s="38">
        <v>45997.681574097223</v>
      </c>
      <c r="B113" s="36">
        <v>2746.8</v>
      </c>
      <c r="C113" s="36">
        <v>3.63</v>
      </c>
      <c r="D113" s="60" t="s">
        <v>876</v>
      </c>
      <c r="E113" s="60" t="s">
        <v>876</v>
      </c>
      <c r="F113" s="36">
        <v>4000</v>
      </c>
      <c r="G113" s="36">
        <v>5</v>
      </c>
      <c r="H113" s="36">
        <v>0</v>
      </c>
      <c r="I113" s="36">
        <v>4</v>
      </c>
      <c r="J113" s="36"/>
      <c r="K113" s="36"/>
    </row>
    <row r="114" spans="1:11" ht="19.5" customHeight="1" x14ac:dyDescent="0.45">
      <c r="A114" s="38">
        <v>45997.681574178241</v>
      </c>
      <c r="B114" s="36">
        <v>2772.96</v>
      </c>
      <c r="C114" s="36">
        <v>3.69</v>
      </c>
      <c r="D114" s="60" t="s">
        <v>876</v>
      </c>
      <c r="E114" s="60" t="s">
        <v>876</v>
      </c>
      <c r="F114" s="36">
        <v>4000</v>
      </c>
      <c r="G114" s="36">
        <v>5</v>
      </c>
      <c r="H114" s="36">
        <v>0</v>
      </c>
      <c r="I114" s="36">
        <v>4</v>
      </c>
      <c r="J114" s="36"/>
      <c r="K114" s="36"/>
    </row>
    <row r="115" spans="1:11" ht="19.5" customHeight="1" x14ac:dyDescent="0.45">
      <c r="A115" s="38">
        <v>45997.681574270835</v>
      </c>
      <c r="B115" s="36">
        <v>2799.12</v>
      </c>
      <c r="C115" s="36">
        <v>3.73</v>
      </c>
      <c r="D115" s="60" t="s">
        <v>876</v>
      </c>
      <c r="E115" s="60" t="s">
        <v>876</v>
      </c>
      <c r="F115" s="36">
        <v>4000</v>
      </c>
      <c r="G115" s="36">
        <v>5</v>
      </c>
      <c r="H115" s="36">
        <v>0</v>
      </c>
      <c r="I115" s="36">
        <v>4</v>
      </c>
      <c r="J115" s="36"/>
      <c r="K115" s="36"/>
    </row>
    <row r="116" spans="1:11" ht="19.5" customHeight="1" x14ac:dyDescent="0.45">
      <c r="A116" s="38">
        <v>45997.681574363429</v>
      </c>
      <c r="B116" s="36">
        <v>2825.28</v>
      </c>
      <c r="C116" s="36">
        <v>3.73</v>
      </c>
      <c r="D116" s="60" t="s">
        <v>876</v>
      </c>
      <c r="E116" s="60" t="s">
        <v>876</v>
      </c>
      <c r="F116" s="36">
        <v>4000</v>
      </c>
      <c r="G116" s="36">
        <v>5</v>
      </c>
      <c r="H116" s="36">
        <v>0</v>
      </c>
      <c r="I116" s="36">
        <v>4</v>
      </c>
      <c r="J116" s="36"/>
      <c r="K116" s="36"/>
    </row>
    <row r="117" spans="1:11" ht="19.5" customHeight="1" x14ac:dyDescent="0.45">
      <c r="A117" s="38">
        <v>45997.681574467591</v>
      </c>
      <c r="B117" s="36">
        <v>2851.44</v>
      </c>
      <c r="C117" s="36">
        <v>3.61</v>
      </c>
      <c r="D117" s="60" t="s">
        <v>876</v>
      </c>
      <c r="E117" s="60" t="s">
        <v>876</v>
      </c>
      <c r="F117" s="36">
        <v>4000</v>
      </c>
      <c r="G117" s="36">
        <v>5</v>
      </c>
      <c r="H117" s="36">
        <v>0</v>
      </c>
      <c r="I117" s="36">
        <v>4</v>
      </c>
      <c r="J117" s="36"/>
      <c r="K117" s="36"/>
    </row>
    <row r="118" spans="1:11" ht="19.5" customHeight="1" x14ac:dyDescent="0.45">
      <c r="A118" s="38">
        <v>45997.681574548609</v>
      </c>
      <c r="B118" s="36">
        <v>2877.6</v>
      </c>
      <c r="C118" s="36">
        <v>3.35</v>
      </c>
      <c r="D118" s="60" t="s">
        <v>876</v>
      </c>
      <c r="E118" s="60" t="s">
        <v>876</v>
      </c>
      <c r="F118" s="36">
        <v>4000</v>
      </c>
      <c r="G118" s="36">
        <v>5</v>
      </c>
      <c r="H118" s="36">
        <v>0</v>
      </c>
      <c r="I118" s="36">
        <v>4</v>
      </c>
      <c r="J118" s="36"/>
      <c r="K118" s="36"/>
    </row>
    <row r="119" spans="1:11" ht="19.5" customHeight="1" x14ac:dyDescent="0.45">
      <c r="A119" s="38">
        <v>45997.681574652779</v>
      </c>
      <c r="B119" s="36">
        <v>2903.76</v>
      </c>
      <c r="C119" s="36">
        <v>2.88</v>
      </c>
      <c r="D119" s="60" t="s">
        <v>876</v>
      </c>
      <c r="E119" s="60" t="s">
        <v>876</v>
      </c>
      <c r="F119" s="36">
        <v>4000</v>
      </c>
      <c r="G119" s="36">
        <v>5</v>
      </c>
      <c r="H119" s="36">
        <v>0</v>
      </c>
      <c r="I119" s="36">
        <v>4</v>
      </c>
      <c r="J119" s="36"/>
      <c r="K119" s="36"/>
    </row>
    <row r="120" spans="1:11" ht="19.5" customHeight="1" x14ac:dyDescent="0.45">
      <c r="A120" s="38">
        <v>45997.681574745373</v>
      </c>
      <c r="B120" s="36">
        <v>2929.92</v>
      </c>
      <c r="C120" s="36">
        <v>2.25</v>
      </c>
      <c r="D120" s="60" t="s">
        <v>876</v>
      </c>
      <c r="E120" s="60" t="s">
        <v>876</v>
      </c>
      <c r="F120" s="36">
        <v>4000</v>
      </c>
      <c r="G120" s="36">
        <v>5</v>
      </c>
      <c r="H120" s="36">
        <v>0</v>
      </c>
      <c r="I120" s="36">
        <v>4</v>
      </c>
      <c r="J120" s="36"/>
      <c r="K120" s="36"/>
    </row>
    <row r="121" spans="1:11" ht="19.5" customHeight="1" x14ac:dyDescent="0.45">
      <c r="A121" s="38">
        <v>45997.681574837959</v>
      </c>
      <c r="B121" s="36">
        <v>2956.8</v>
      </c>
      <c r="C121" s="36">
        <v>1.53</v>
      </c>
      <c r="D121" s="60" t="s">
        <v>876</v>
      </c>
      <c r="E121" s="60" t="s">
        <v>876</v>
      </c>
      <c r="F121" s="36">
        <v>4000</v>
      </c>
      <c r="G121" s="36">
        <v>5</v>
      </c>
      <c r="H121" s="36">
        <v>1</v>
      </c>
      <c r="I121" s="36">
        <v>4</v>
      </c>
      <c r="J121" s="36"/>
      <c r="K121" s="36"/>
    </row>
    <row r="122" spans="1:11" ht="19.5" customHeight="1" x14ac:dyDescent="0.45">
      <c r="A122" s="38">
        <v>45997.681574930553</v>
      </c>
      <c r="B122" s="36">
        <v>2982.24</v>
      </c>
      <c r="C122" s="36">
        <v>0.82</v>
      </c>
      <c r="D122" s="60" t="s">
        <v>876</v>
      </c>
      <c r="E122" s="60" t="s">
        <v>876</v>
      </c>
      <c r="F122" s="36">
        <v>4000</v>
      </c>
      <c r="G122" s="36">
        <v>5</v>
      </c>
      <c r="H122" s="36">
        <v>1</v>
      </c>
      <c r="I122" s="36">
        <v>4</v>
      </c>
      <c r="J122" s="36"/>
      <c r="K122" s="36"/>
    </row>
    <row r="123" spans="1:11" ht="19.5" customHeight="1" x14ac:dyDescent="0.45">
      <c r="A123" s="38">
        <v>45997.681575023147</v>
      </c>
      <c r="B123" s="36">
        <v>3008.4</v>
      </c>
      <c r="C123" s="36">
        <v>0.43</v>
      </c>
      <c r="D123" s="60" t="s">
        <v>876</v>
      </c>
      <c r="E123" s="60" t="s">
        <v>876</v>
      </c>
      <c r="F123" s="36">
        <v>4000</v>
      </c>
      <c r="G123" s="36">
        <v>5</v>
      </c>
      <c r="H123" s="36">
        <v>1</v>
      </c>
      <c r="I123" s="36">
        <v>4</v>
      </c>
      <c r="J123" s="36"/>
      <c r="K123" s="36"/>
    </row>
    <row r="124" spans="1:11" ht="19.5" customHeight="1" x14ac:dyDescent="0.45">
      <c r="A124" s="38">
        <v>45997.681575127317</v>
      </c>
      <c r="B124" s="36">
        <v>3034.56</v>
      </c>
      <c r="C124" s="36">
        <v>0.45</v>
      </c>
      <c r="D124" s="60" t="s">
        <v>876</v>
      </c>
      <c r="E124" s="60" t="s">
        <v>876</v>
      </c>
      <c r="F124" s="36">
        <v>4000</v>
      </c>
      <c r="G124" s="36">
        <v>5</v>
      </c>
      <c r="H124" s="36">
        <v>1</v>
      </c>
      <c r="I124" s="36">
        <v>4</v>
      </c>
      <c r="J124" s="36"/>
      <c r="K124" s="36"/>
    </row>
    <row r="125" spans="1:11" ht="19.5" customHeight="1" x14ac:dyDescent="0.45">
      <c r="A125" s="38">
        <v>45997.681575219911</v>
      </c>
      <c r="B125" s="36">
        <v>3060.72</v>
      </c>
      <c r="C125" s="36">
        <v>0.49</v>
      </c>
      <c r="D125" s="60" t="s">
        <v>876</v>
      </c>
      <c r="E125" s="60" t="s">
        <v>876</v>
      </c>
      <c r="F125" s="36">
        <v>4000</v>
      </c>
      <c r="G125" s="36">
        <v>5</v>
      </c>
      <c r="H125" s="36">
        <v>1</v>
      </c>
      <c r="I125" s="36">
        <v>4</v>
      </c>
      <c r="J125" s="36"/>
      <c r="K125" s="36"/>
    </row>
    <row r="126" spans="1:11" ht="19.5" customHeight="1" x14ac:dyDescent="0.45">
      <c r="A126" s="38">
        <v>45997.681575312497</v>
      </c>
      <c r="B126" s="36">
        <v>3086.88</v>
      </c>
      <c r="C126" s="36">
        <v>0.56999999999999995</v>
      </c>
      <c r="D126" s="60" t="s">
        <v>876</v>
      </c>
      <c r="E126" s="60" t="s">
        <v>876</v>
      </c>
      <c r="F126" s="36">
        <v>4000</v>
      </c>
      <c r="G126" s="36">
        <v>5</v>
      </c>
      <c r="H126" s="36">
        <v>1</v>
      </c>
      <c r="I126" s="36">
        <v>4</v>
      </c>
      <c r="J126" s="36"/>
      <c r="K126" s="36"/>
    </row>
    <row r="127" spans="1:11" ht="19.5" customHeight="1" x14ac:dyDescent="0.45">
      <c r="A127" s="38">
        <v>45997.681575393515</v>
      </c>
      <c r="B127" s="36">
        <v>3113.4</v>
      </c>
      <c r="C127" s="36">
        <v>0.75</v>
      </c>
      <c r="D127" s="60" t="s">
        <v>876</v>
      </c>
      <c r="E127" s="60" t="s">
        <v>876</v>
      </c>
      <c r="F127" s="36">
        <v>4000</v>
      </c>
      <c r="G127" s="36">
        <v>5</v>
      </c>
      <c r="H127" s="36">
        <v>1</v>
      </c>
      <c r="I127" s="36">
        <v>4</v>
      </c>
      <c r="J127" s="36"/>
      <c r="K127" s="36"/>
    </row>
    <row r="128" spans="1:11" ht="19.5" customHeight="1" x14ac:dyDescent="0.45">
      <c r="A128" s="38">
        <v>45997.681575486109</v>
      </c>
      <c r="B128" s="36">
        <v>3139.2</v>
      </c>
      <c r="C128" s="36">
        <v>0.98</v>
      </c>
      <c r="D128" s="60" t="s">
        <v>876</v>
      </c>
      <c r="E128" s="60" t="s">
        <v>876</v>
      </c>
      <c r="F128" s="36">
        <v>4000</v>
      </c>
      <c r="G128" s="36">
        <v>5</v>
      </c>
      <c r="H128" s="36">
        <v>1</v>
      </c>
      <c r="I128" s="36">
        <v>4</v>
      </c>
      <c r="J128" s="36"/>
      <c r="K128" s="36"/>
    </row>
    <row r="129" spans="1:11" ht="19.5" customHeight="1" x14ac:dyDescent="0.45">
      <c r="A129" s="38">
        <v>45997.681575578703</v>
      </c>
      <c r="B129" s="36">
        <v>3165.36</v>
      </c>
      <c r="C129" s="36">
        <v>1.24</v>
      </c>
      <c r="D129" s="60" t="s">
        <v>876</v>
      </c>
      <c r="E129" s="60" t="s">
        <v>876</v>
      </c>
      <c r="F129" s="36">
        <v>4000</v>
      </c>
      <c r="G129" s="36">
        <v>5</v>
      </c>
      <c r="H129" s="36">
        <v>1</v>
      </c>
      <c r="I129" s="36">
        <v>4</v>
      </c>
      <c r="J129" s="36"/>
      <c r="K129" s="36"/>
    </row>
    <row r="130" spans="1:11" ht="19.5" customHeight="1" x14ac:dyDescent="0.45">
      <c r="A130" s="38">
        <v>45997.681575682873</v>
      </c>
      <c r="B130" s="36">
        <v>3191.52</v>
      </c>
      <c r="C130" s="36">
        <v>1.51</v>
      </c>
      <c r="D130" s="60" t="s">
        <v>876</v>
      </c>
      <c r="E130" s="60" t="s">
        <v>876</v>
      </c>
      <c r="F130" s="36">
        <v>4000</v>
      </c>
      <c r="G130" s="36">
        <v>5</v>
      </c>
      <c r="H130" s="36">
        <v>1</v>
      </c>
      <c r="I130" s="36">
        <v>4</v>
      </c>
      <c r="J130" s="36"/>
      <c r="K130" s="36"/>
    </row>
    <row r="131" spans="1:11" ht="19.5" customHeight="1" x14ac:dyDescent="0.45">
      <c r="A131" s="38">
        <v>45997.681575787035</v>
      </c>
      <c r="B131" s="36">
        <v>3217.68</v>
      </c>
      <c r="C131" s="36">
        <v>1.76</v>
      </c>
      <c r="D131" s="60" t="s">
        <v>876</v>
      </c>
      <c r="E131" s="60" t="s">
        <v>876</v>
      </c>
      <c r="F131" s="36">
        <v>4000</v>
      </c>
      <c r="G131" s="36">
        <v>5</v>
      </c>
      <c r="H131" s="36">
        <v>1</v>
      </c>
      <c r="I131" s="36">
        <v>4</v>
      </c>
      <c r="J131" s="36"/>
      <c r="K131" s="36"/>
    </row>
    <row r="132" spans="1:11" ht="19.5" customHeight="1" x14ac:dyDescent="0.45">
      <c r="A132" s="38">
        <v>45997.681575879629</v>
      </c>
      <c r="B132" s="36">
        <v>3243.84</v>
      </c>
      <c r="C132" s="36">
        <v>2.02</v>
      </c>
      <c r="D132" s="60" t="s">
        <v>876</v>
      </c>
      <c r="E132" s="60" t="s">
        <v>876</v>
      </c>
      <c r="F132" s="36">
        <v>4000</v>
      </c>
      <c r="G132" s="36">
        <v>5</v>
      </c>
      <c r="H132" s="36">
        <v>0</v>
      </c>
      <c r="I132" s="36">
        <v>5</v>
      </c>
      <c r="J132" s="36"/>
      <c r="K132" s="36"/>
    </row>
    <row r="133" spans="1:11" ht="19.5" customHeight="1" x14ac:dyDescent="0.45">
      <c r="A133" s="38">
        <v>45997.681575925926</v>
      </c>
      <c r="B133" s="36">
        <v>3270</v>
      </c>
      <c r="C133" s="36">
        <v>2.25</v>
      </c>
      <c r="D133" s="60" t="s">
        <v>876</v>
      </c>
      <c r="E133" s="60" t="s">
        <v>876</v>
      </c>
      <c r="F133" s="36">
        <v>4000</v>
      </c>
      <c r="G133" s="36">
        <v>5</v>
      </c>
      <c r="H133" s="36">
        <v>0</v>
      </c>
      <c r="I133" s="36">
        <v>5</v>
      </c>
      <c r="J133" s="36"/>
      <c r="K133" s="36"/>
    </row>
    <row r="134" spans="1:11" ht="19.5" customHeight="1" x14ac:dyDescent="0.45">
      <c r="A134" s="38">
        <v>45997.681576030096</v>
      </c>
      <c r="B134" s="36">
        <v>3296.16</v>
      </c>
      <c r="C134" s="36">
        <v>2.4700000000000002</v>
      </c>
      <c r="D134" s="60" t="s">
        <v>876</v>
      </c>
      <c r="E134" s="60" t="s">
        <v>876</v>
      </c>
      <c r="F134" s="36">
        <v>4000</v>
      </c>
      <c r="G134" s="36">
        <v>5</v>
      </c>
      <c r="H134" s="36">
        <v>0</v>
      </c>
      <c r="I134" s="36">
        <v>5</v>
      </c>
      <c r="J134" s="36"/>
      <c r="K134" s="36"/>
    </row>
    <row r="135" spans="1:11" ht="19.5" customHeight="1" x14ac:dyDescent="0.45">
      <c r="A135" s="38">
        <v>45997.681576157411</v>
      </c>
      <c r="B135" s="36">
        <v>3322.32</v>
      </c>
      <c r="C135" s="36">
        <v>2.67</v>
      </c>
      <c r="D135" s="60" t="s">
        <v>876</v>
      </c>
      <c r="E135" s="60" t="s">
        <v>876</v>
      </c>
      <c r="F135" s="36">
        <v>4000</v>
      </c>
      <c r="G135" s="36">
        <v>5</v>
      </c>
      <c r="H135" s="36">
        <v>0</v>
      </c>
      <c r="I135" s="36">
        <v>5</v>
      </c>
      <c r="J135" s="36"/>
      <c r="K135" s="36"/>
    </row>
    <row r="136" spans="1:11" ht="19.5" customHeight="1" x14ac:dyDescent="0.45">
      <c r="A136" s="38">
        <v>45997.681576273149</v>
      </c>
      <c r="B136" s="36">
        <v>3348.48</v>
      </c>
      <c r="C136" s="36">
        <v>2.84</v>
      </c>
      <c r="D136" s="60" t="s">
        <v>876</v>
      </c>
      <c r="E136" s="60" t="s">
        <v>876</v>
      </c>
      <c r="F136" s="36">
        <v>4000</v>
      </c>
      <c r="G136" s="36">
        <v>5</v>
      </c>
      <c r="H136" s="36">
        <v>0</v>
      </c>
      <c r="I136" s="36">
        <v>5</v>
      </c>
      <c r="J136" s="36"/>
      <c r="K136" s="36"/>
    </row>
    <row r="137" spans="1:11" ht="19.5" customHeight="1" x14ac:dyDescent="0.45">
      <c r="A137" s="38">
        <v>45997.681576342591</v>
      </c>
      <c r="B137" s="36">
        <v>3374.64</v>
      </c>
      <c r="C137" s="36">
        <v>3</v>
      </c>
      <c r="D137" s="60" t="s">
        <v>876</v>
      </c>
      <c r="E137" s="60" t="s">
        <v>876</v>
      </c>
      <c r="F137" s="36">
        <v>4000</v>
      </c>
      <c r="G137" s="36">
        <v>5</v>
      </c>
      <c r="H137" s="36">
        <v>0</v>
      </c>
      <c r="I137" s="36">
        <v>5</v>
      </c>
      <c r="J137" s="36"/>
      <c r="K137" s="36"/>
    </row>
    <row r="138" spans="1:11" ht="19.5" customHeight="1" x14ac:dyDescent="0.45">
      <c r="A138" s="38">
        <v>45997.681576400464</v>
      </c>
      <c r="B138" s="36">
        <v>3400.8</v>
      </c>
      <c r="C138" s="36">
        <v>3.16</v>
      </c>
      <c r="D138" s="60" t="s">
        <v>876</v>
      </c>
      <c r="E138" s="60" t="s">
        <v>876</v>
      </c>
      <c r="F138" s="36">
        <v>4000</v>
      </c>
      <c r="G138" s="36">
        <v>5</v>
      </c>
      <c r="H138" s="36">
        <v>0</v>
      </c>
      <c r="I138" s="36">
        <v>5</v>
      </c>
      <c r="J138" s="36"/>
      <c r="K138" s="36"/>
    </row>
    <row r="139" spans="1:11" ht="19.5" customHeight="1" x14ac:dyDescent="0.45">
      <c r="A139" s="38">
        <v>45997.681576493058</v>
      </c>
      <c r="B139" s="36">
        <v>3426.96</v>
      </c>
      <c r="C139" s="36">
        <v>3.27</v>
      </c>
      <c r="D139" s="60" t="s">
        <v>876</v>
      </c>
      <c r="E139" s="60" t="s">
        <v>876</v>
      </c>
      <c r="F139" s="36">
        <v>4000</v>
      </c>
      <c r="G139" s="36">
        <v>5</v>
      </c>
      <c r="H139" s="36">
        <v>0</v>
      </c>
      <c r="I139" s="36">
        <v>5</v>
      </c>
      <c r="J139" s="36"/>
      <c r="K139" s="36"/>
    </row>
    <row r="140" spans="1:11" ht="19.5" customHeight="1" x14ac:dyDescent="0.45">
      <c r="A140" s="38">
        <v>45997.681576585652</v>
      </c>
      <c r="B140" s="36">
        <v>3453.12</v>
      </c>
      <c r="C140" s="36">
        <v>3.41</v>
      </c>
      <c r="D140" s="60" t="s">
        <v>876</v>
      </c>
      <c r="E140" s="60" t="s">
        <v>876</v>
      </c>
      <c r="F140" s="36">
        <v>4000</v>
      </c>
      <c r="G140" s="36">
        <v>5</v>
      </c>
      <c r="H140" s="36">
        <v>0</v>
      </c>
      <c r="I140" s="36">
        <v>5</v>
      </c>
      <c r="J140" s="36"/>
      <c r="K140" s="36"/>
    </row>
    <row r="141" spans="1:11" ht="19.5" customHeight="1" x14ac:dyDescent="0.45">
      <c r="A141" s="38">
        <v>45997.681576689814</v>
      </c>
      <c r="B141" s="36">
        <v>3479.28</v>
      </c>
      <c r="C141" s="36">
        <v>3.51</v>
      </c>
      <c r="D141" s="60" t="s">
        <v>876</v>
      </c>
      <c r="E141" s="60" t="s">
        <v>876</v>
      </c>
      <c r="F141" s="36">
        <v>4000</v>
      </c>
      <c r="G141" s="36">
        <v>5</v>
      </c>
      <c r="H141" s="36">
        <v>0</v>
      </c>
      <c r="I141" s="36">
        <v>5</v>
      </c>
      <c r="J141" s="36"/>
      <c r="K141" s="36"/>
    </row>
    <row r="142" spans="1:11" ht="19.5" customHeight="1" x14ac:dyDescent="0.45">
      <c r="A142" s="38">
        <v>45997.681576782408</v>
      </c>
      <c r="B142" s="36">
        <v>3505.44</v>
      </c>
      <c r="C142" s="36">
        <v>3.61</v>
      </c>
      <c r="D142" s="60" t="s">
        <v>876</v>
      </c>
      <c r="E142" s="60" t="s">
        <v>876</v>
      </c>
      <c r="F142" s="36">
        <v>4000</v>
      </c>
      <c r="G142" s="36">
        <v>5</v>
      </c>
      <c r="H142" s="36">
        <v>0</v>
      </c>
      <c r="I142" s="36">
        <v>5</v>
      </c>
      <c r="J142" s="36"/>
      <c r="K142" s="36"/>
    </row>
    <row r="143" spans="1:11" ht="19.5" customHeight="1" x14ac:dyDescent="0.45">
      <c r="A143" s="38">
        <v>45997.681576875002</v>
      </c>
      <c r="B143" s="36">
        <v>3531.6</v>
      </c>
      <c r="C143" s="36">
        <v>3.67</v>
      </c>
      <c r="D143" s="60" t="s">
        <v>876</v>
      </c>
      <c r="E143" s="60" t="s">
        <v>876</v>
      </c>
      <c r="F143" s="36">
        <v>4000</v>
      </c>
      <c r="G143" s="36">
        <v>5</v>
      </c>
      <c r="H143" s="36">
        <v>0</v>
      </c>
      <c r="I143" s="36">
        <v>5</v>
      </c>
      <c r="J143" s="36"/>
      <c r="K143" s="36"/>
    </row>
    <row r="144" spans="1:11" ht="19.5" customHeight="1" x14ac:dyDescent="0.45">
      <c r="A144" s="38">
        <v>45997.681576967596</v>
      </c>
      <c r="B144" s="36">
        <v>3557.76</v>
      </c>
      <c r="C144" s="36">
        <v>3.73</v>
      </c>
      <c r="D144" s="60" t="s">
        <v>876</v>
      </c>
      <c r="E144" s="60" t="s">
        <v>876</v>
      </c>
      <c r="F144" s="36">
        <v>4000</v>
      </c>
      <c r="G144" s="36">
        <v>5</v>
      </c>
      <c r="H144" s="36">
        <v>0</v>
      </c>
      <c r="I144" s="36">
        <v>5</v>
      </c>
      <c r="J144" s="36"/>
      <c r="K144" s="36"/>
    </row>
    <row r="145" spans="1:11" ht="19.5" customHeight="1" x14ac:dyDescent="0.45">
      <c r="A145" s="38">
        <v>45997.681577071759</v>
      </c>
      <c r="B145" s="36">
        <v>3583.92</v>
      </c>
      <c r="C145" s="36">
        <v>3.73</v>
      </c>
      <c r="D145" s="60" t="s">
        <v>876</v>
      </c>
      <c r="E145" s="60" t="s">
        <v>876</v>
      </c>
      <c r="F145" s="36">
        <v>4000</v>
      </c>
      <c r="G145" s="36">
        <v>5</v>
      </c>
      <c r="H145" s="36">
        <v>0</v>
      </c>
      <c r="I145" s="36">
        <v>5</v>
      </c>
      <c r="J145" s="36"/>
      <c r="K145" s="36"/>
    </row>
    <row r="146" spans="1:11" ht="19.5" customHeight="1" x14ac:dyDescent="0.45">
      <c r="A146" s="38">
        <v>45997.681577164352</v>
      </c>
      <c r="B146" s="36">
        <v>3610.8</v>
      </c>
      <c r="C146" s="36">
        <v>3.67</v>
      </c>
      <c r="D146" s="60" t="s">
        <v>876</v>
      </c>
      <c r="E146" s="60" t="s">
        <v>876</v>
      </c>
      <c r="F146" s="36">
        <v>4000</v>
      </c>
      <c r="G146" s="36">
        <v>5</v>
      </c>
      <c r="H146" s="36">
        <v>0</v>
      </c>
      <c r="I146" s="36">
        <v>5</v>
      </c>
      <c r="J146" s="36"/>
      <c r="K146" s="36"/>
    </row>
    <row r="147" spans="1:11" ht="19.5" customHeight="1" x14ac:dyDescent="0.45">
      <c r="A147" s="38">
        <v>45997.68157724537</v>
      </c>
      <c r="B147" s="36">
        <v>3636.24</v>
      </c>
      <c r="C147" s="36">
        <v>3.45</v>
      </c>
      <c r="D147" s="60" t="s">
        <v>876</v>
      </c>
      <c r="E147" s="60" t="s">
        <v>876</v>
      </c>
      <c r="F147" s="36">
        <v>4000</v>
      </c>
      <c r="G147" s="36">
        <v>5</v>
      </c>
      <c r="H147" s="36">
        <v>0</v>
      </c>
      <c r="I147" s="36">
        <v>5</v>
      </c>
      <c r="J147" s="36"/>
      <c r="K147" s="36"/>
    </row>
    <row r="148" spans="1:11" ht="19.5" customHeight="1" x14ac:dyDescent="0.45">
      <c r="A148" s="38">
        <v>45997.681577361109</v>
      </c>
      <c r="B148" s="36">
        <v>3662.4</v>
      </c>
      <c r="C148" s="36">
        <v>3.06</v>
      </c>
      <c r="D148" s="60" t="s">
        <v>876</v>
      </c>
      <c r="E148" s="60" t="s">
        <v>876</v>
      </c>
      <c r="F148" s="36">
        <v>4000</v>
      </c>
      <c r="G148" s="36">
        <v>5</v>
      </c>
      <c r="H148" s="36">
        <v>0</v>
      </c>
      <c r="I148" s="36">
        <v>5</v>
      </c>
      <c r="J148" s="36"/>
      <c r="K148" s="36"/>
    </row>
    <row r="149" spans="1:11" ht="19.5" customHeight="1" x14ac:dyDescent="0.45">
      <c r="A149" s="38">
        <v>45997.681577453703</v>
      </c>
      <c r="B149" s="36">
        <v>3688.56</v>
      </c>
      <c r="C149" s="36">
        <v>2.4900000000000002</v>
      </c>
      <c r="D149" s="60" t="s">
        <v>876</v>
      </c>
      <c r="E149" s="60" t="s">
        <v>876</v>
      </c>
      <c r="F149" s="36">
        <v>4000</v>
      </c>
      <c r="G149" s="36">
        <v>5</v>
      </c>
      <c r="H149" s="36">
        <v>0</v>
      </c>
      <c r="I149" s="36">
        <v>5</v>
      </c>
      <c r="J149" s="36"/>
      <c r="K149" s="36"/>
    </row>
    <row r="150" spans="1:11" ht="19.5" customHeight="1" x14ac:dyDescent="0.45">
      <c r="A150" s="38">
        <v>45997.681577546296</v>
      </c>
      <c r="B150" s="36">
        <v>3714.72</v>
      </c>
      <c r="C150" s="36">
        <v>1.78</v>
      </c>
      <c r="D150" s="60" t="s">
        <v>876</v>
      </c>
      <c r="E150" s="60" t="s">
        <v>876</v>
      </c>
      <c r="F150" s="36">
        <v>4000</v>
      </c>
      <c r="G150" s="36">
        <v>5</v>
      </c>
      <c r="H150" s="36">
        <v>1</v>
      </c>
      <c r="I150" s="36">
        <v>5</v>
      </c>
      <c r="J150" s="36"/>
      <c r="K150" s="36"/>
    </row>
    <row r="151" spans="1:11" ht="19.5" customHeight="1" x14ac:dyDescent="0.45">
      <c r="A151" s="38">
        <v>45997.681577627314</v>
      </c>
      <c r="B151" s="36">
        <v>3740.88</v>
      </c>
      <c r="C151" s="36">
        <v>1.06</v>
      </c>
      <c r="D151" s="60" t="s">
        <v>876</v>
      </c>
      <c r="E151" s="60" t="s">
        <v>876</v>
      </c>
      <c r="F151" s="36">
        <v>4000</v>
      </c>
      <c r="G151" s="36">
        <v>5</v>
      </c>
      <c r="H151" s="36">
        <v>1</v>
      </c>
      <c r="I151" s="36">
        <v>5</v>
      </c>
      <c r="J151" s="36"/>
      <c r="K151" s="36"/>
    </row>
    <row r="152" spans="1:11" ht="19.5" customHeight="1" x14ac:dyDescent="0.45">
      <c r="A152" s="38">
        <v>45997.681577731484</v>
      </c>
      <c r="B152" s="36">
        <v>3767.4</v>
      </c>
      <c r="C152" s="36">
        <v>0.47</v>
      </c>
      <c r="D152" s="60" t="s">
        <v>876</v>
      </c>
      <c r="E152" s="60" t="s">
        <v>876</v>
      </c>
      <c r="F152" s="36">
        <v>4000</v>
      </c>
      <c r="G152" s="36">
        <v>5</v>
      </c>
      <c r="H152" s="36">
        <v>1</v>
      </c>
      <c r="I152" s="36">
        <v>5</v>
      </c>
      <c r="J152" s="36"/>
      <c r="K152" s="36"/>
    </row>
    <row r="153" spans="1:11" ht="19.5" customHeight="1" x14ac:dyDescent="0.45">
      <c r="A153" s="38">
        <v>45997.681577824071</v>
      </c>
      <c r="B153" s="36">
        <v>3793.2</v>
      </c>
      <c r="C153" s="36">
        <v>0.45</v>
      </c>
      <c r="D153" s="60" t="s">
        <v>876</v>
      </c>
      <c r="E153" s="60" t="s">
        <v>876</v>
      </c>
      <c r="F153" s="36">
        <v>4000</v>
      </c>
      <c r="G153" s="36">
        <v>5</v>
      </c>
      <c r="H153" s="36">
        <v>1</v>
      </c>
      <c r="I153" s="36">
        <v>5</v>
      </c>
      <c r="J153" s="36"/>
      <c r="K153" s="36"/>
    </row>
    <row r="154" spans="1:11" ht="19.5" customHeight="1" x14ac:dyDescent="0.45">
      <c r="A154" s="38">
        <v>45997.681577916665</v>
      </c>
      <c r="B154" s="36">
        <v>3819.36</v>
      </c>
      <c r="C154" s="36">
        <v>0.47</v>
      </c>
      <c r="D154" s="60" t="s">
        <v>876</v>
      </c>
      <c r="E154" s="60" t="s">
        <v>876</v>
      </c>
      <c r="F154" s="36">
        <v>4000</v>
      </c>
      <c r="G154" s="36">
        <v>5</v>
      </c>
      <c r="H154" s="36">
        <v>1</v>
      </c>
      <c r="I154" s="36">
        <v>5</v>
      </c>
      <c r="J154" s="36"/>
      <c r="K154" s="36"/>
    </row>
    <row r="155" spans="1:11" ht="19.5" customHeight="1" x14ac:dyDescent="0.45">
      <c r="A155" s="38">
        <v>45997.681578009258</v>
      </c>
      <c r="B155" s="36">
        <v>3845.52</v>
      </c>
      <c r="C155" s="36">
        <v>0.53</v>
      </c>
      <c r="D155" s="60" t="s">
        <v>876</v>
      </c>
      <c r="E155" s="60" t="s">
        <v>876</v>
      </c>
      <c r="F155" s="36">
        <v>4000</v>
      </c>
      <c r="G155" s="36">
        <v>5</v>
      </c>
      <c r="H155" s="36">
        <v>1</v>
      </c>
      <c r="I155" s="36">
        <v>5</v>
      </c>
      <c r="J155" s="36"/>
      <c r="K155" s="36"/>
    </row>
    <row r="156" spans="1:11" ht="19.5" customHeight="1" x14ac:dyDescent="0.45">
      <c r="A156" s="38">
        <v>45997.681578101852</v>
      </c>
      <c r="B156" s="36">
        <v>3871.68</v>
      </c>
      <c r="C156" s="36">
        <v>0.69</v>
      </c>
      <c r="D156" s="60" t="s">
        <v>876</v>
      </c>
      <c r="E156" s="60" t="s">
        <v>876</v>
      </c>
      <c r="F156" s="36">
        <v>4000</v>
      </c>
      <c r="G156" s="36">
        <v>5</v>
      </c>
      <c r="H156" s="36">
        <v>1</v>
      </c>
      <c r="I156" s="36">
        <v>5</v>
      </c>
      <c r="J156" s="36"/>
      <c r="K156" s="36"/>
    </row>
    <row r="157" spans="1:11" ht="19.5" customHeight="1" x14ac:dyDescent="0.45">
      <c r="A157" s="38">
        <v>45997.681578194446</v>
      </c>
      <c r="B157" s="36">
        <v>3897.84</v>
      </c>
      <c r="C157" s="36">
        <v>0.88</v>
      </c>
      <c r="D157" s="60" t="s">
        <v>876</v>
      </c>
      <c r="E157" s="60" t="s">
        <v>876</v>
      </c>
      <c r="F157" s="36">
        <v>4000</v>
      </c>
      <c r="G157" s="36">
        <v>5</v>
      </c>
      <c r="H157" s="36">
        <v>1</v>
      </c>
      <c r="I157" s="36">
        <v>5</v>
      </c>
      <c r="J157" s="36"/>
      <c r="K157" s="36"/>
    </row>
    <row r="158" spans="1:11" ht="19.5" customHeight="1" x14ac:dyDescent="0.45">
      <c r="A158" s="38">
        <v>45997.681578263888</v>
      </c>
      <c r="B158" s="36">
        <v>3924</v>
      </c>
      <c r="C158" s="36">
        <v>1.1399999999999999</v>
      </c>
      <c r="D158" s="60" t="s">
        <v>876</v>
      </c>
      <c r="E158" s="60" t="s">
        <v>876</v>
      </c>
      <c r="F158" s="36">
        <v>4000</v>
      </c>
      <c r="G158" s="36">
        <v>5</v>
      </c>
      <c r="H158" s="36">
        <v>1</v>
      </c>
      <c r="I158" s="36">
        <v>5</v>
      </c>
      <c r="J158" s="36"/>
      <c r="K158" s="36"/>
    </row>
    <row r="159" spans="1:11" ht="19.5" customHeight="1" x14ac:dyDescent="0.45">
      <c r="A159" s="38">
        <v>45997.681578356482</v>
      </c>
      <c r="B159" s="36">
        <v>3950.16</v>
      </c>
      <c r="C159" s="36">
        <v>1.41</v>
      </c>
      <c r="D159" s="60" t="s">
        <v>876</v>
      </c>
      <c r="E159" s="60" t="s">
        <v>876</v>
      </c>
      <c r="F159" s="36">
        <v>4000</v>
      </c>
      <c r="G159" s="36">
        <v>5</v>
      </c>
      <c r="H159" s="36">
        <v>1</v>
      </c>
      <c r="I159" s="36">
        <v>5</v>
      </c>
      <c r="J159" s="36"/>
      <c r="K159" s="36"/>
    </row>
    <row r="160" spans="1:11" ht="19.5" customHeight="1" x14ac:dyDescent="0.45">
      <c r="A160" s="38">
        <v>45997.681578449075</v>
      </c>
      <c r="B160" s="36">
        <v>3976.32</v>
      </c>
      <c r="C160" s="36">
        <v>1.69</v>
      </c>
      <c r="D160" s="60" t="s">
        <v>876</v>
      </c>
      <c r="E160" s="60" t="s">
        <v>876</v>
      </c>
      <c r="F160" s="36">
        <v>4000</v>
      </c>
      <c r="G160" s="36">
        <v>5</v>
      </c>
      <c r="H160" s="36">
        <v>1</v>
      </c>
      <c r="I160" s="36">
        <v>5</v>
      </c>
      <c r="J160" s="36"/>
      <c r="K160" s="36"/>
    </row>
    <row r="161" spans="1:11" ht="19.5" customHeight="1" x14ac:dyDescent="0.45">
      <c r="A161" s="38">
        <v>45997.681578541669</v>
      </c>
      <c r="B161" s="36">
        <v>4002.48</v>
      </c>
      <c r="C161" s="36">
        <v>1.94</v>
      </c>
      <c r="D161" s="60" t="s">
        <v>876</v>
      </c>
      <c r="E161" s="60" t="s">
        <v>876</v>
      </c>
      <c r="F161" s="36">
        <v>4000</v>
      </c>
      <c r="G161" s="36">
        <v>5</v>
      </c>
      <c r="H161" s="36">
        <v>1</v>
      </c>
      <c r="I161" s="36">
        <v>5</v>
      </c>
      <c r="J161" s="36"/>
      <c r="K161" s="36"/>
    </row>
    <row r="162" spans="1:11" ht="19.5" customHeight="1" x14ac:dyDescent="0.45">
      <c r="A162" s="38">
        <v>45997.681578634256</v>
      </c>
      <c r="B162" s="36">
        <v>4028.64</v>
      </c>
      <c r="C162" s="36">
        <v>2.1800000000000002</v>
      </c>
      <c r="D162" s="60" t="s">
        <v>876</v>
      </c>
      <c r="E162" s="60" t="s">
        <v>876</v>
      </c>
      <c r="F162" s="36">
        <v>4000</v>
      </c>
      <c r="G162" s="36">
        <v>5</v>
      </c>
      <c r="H162" s="36">
        <v>0</v>
      </c>
      <c r="I162" s="36">
        <v>6</v>
      </c>
      <c r="J162" s="36"/>
      <c r="K162" s="36"/>
    </row>
    <row r="163" spans="1:11" ht="19.5" customHeight="1" x14ac:dyDescent="0.45">
      <c r="A163" s="38">
        <v>45997.68157872685</v>
      </c>
      <c r="B163" s="36">
        <v>4054.8</v>
      </c>
      <c r="C163" s="36">
        <v>2.39</v>
      </c>
      <c r="D163" s="60" t="s">
        <v>876</v>
      </c>
      <c r="E163" s="60" t="s">
        <v>876</v>
      </c>
      <c r="F163" s="36">
        <v>4000</v>
      </c>
      <c r="G163" s="36">
        <v>5</v>
      </c>
      <c r="H163" s="36">
        <v>0</v>
      </c>
      <c r="I163" s="36">
        <v>6</v>
      </c>
      <c r="J163" s="36"/>
      <c r="K163" s="36"/>
    </row>
    <row r="164" spans="1:11" ht="19.5" customHeight="1" x14ac:dyDescent="0.45">
      <c r="A164" s="38">
        <v>45997.681578819444</v>
      </c>
      <c r="B164" s="36">
        <v>4080.96</v>
      </c>
      <c r="C164" s="36">
        <v>2.59</v>
      </c>
      <c r="D164" s="60" t="s">
        <v>876</v>
      </c>
      <c r="E164" s="60" t="s">
        <v>876</v>
      </c>
      <c r="F164" s="36">
        <v>4000</v>
      </c>
      <c r="G164" s="36">
        <v>5</v>
      </c>
      <c r="H164" s="36">
        <v>0</v>
      </c>
      <c r="I164" s="36">
        <v>6</v>
      </c>
      <c r="J164" s="36"/>
      <c r="K164" s="36"/>
    </row>
    <row r="165" spans="1:11" ht="19.5" customHeight="1" x14ac:dyDescent="0.45">
      <c r="A165" s="38">
        <v>45997.681578923613</v>
      </c>
      <c r="B165" s="36">
        <v>4107.12</v>
      </c>
      <c r="C165" s="36">
        <v>2.78</v>
      </c>
      <c r="D165" s="60" t="s">
        <v>876</v>
      </c>
      <c r="E165" s="60" t="s">
        <v>876</v>
      </c>
      <c r="F165" s="36">
        <v>4000</v>
      </c>
      <c r="G165" s="36">
        <v>5</v>
      </c>
      <c r="H165" s="36">
        <v>0</v>
      </c>
      <c r="I165" s="36">
        <v>6</v>
      </c>
      <c r="J165" s="36"/>
      <c r="K165" s="36"/>
    </row>
    <row r="166" spans="1:11" ht="19.5" customHeight="1" x14ac:dyDescent="0.45">
      <c r="A166" s="38">
        <v>45997.681579016207</v>
      </c>
      <c r="B166" s="36">
        <v>4133.28</v>
      </c>
      <c r="C166" s="36">
        <v>2.94</v>
      </c>
      <c r="D166" s="60" t="s">
        <v>876</v>
      </c>
      <c r="E166" s="60" t="s">
        <v>876</v>
      </c>
      <c r="F166" s="36">
        <v>4000</v>
      </c>
      <c r="G166" s="36">
        <v>5</v>
      </c>
      <c r="H166" s="36">
        <v>0</v>
      </c>
      <c r="I166" s="36">
        <v>6</v>
      </c>
      <c r="J166" s="36"/>
      <c r="K166" s="36"/>
    </row>
    <row r="167" spans="1:11" ht="19.5" customHeight="1" x14ac:dyDescent="0.45">
      <c r="A167" s="38">
        <v>45997.681579108794</v>
      </c>
      <c r="B167" s="36">
        <v>4159.4399999999996</v>
      </c>
      <c r="C167" s="36">
        <v>3.1</v>
      </c>
      <c r="D167" s="60" t="s">
        <v>876</v>
      </c>
      <c r="E167" s="60" t="s">
        <v>876</v>
      </c>
      <c r="F167" s="36">
        <v>4000</v>
      </c>
      <c r="G167" s="36">
        <v>5</v>
      </c>
      <c r="H167" s="36">
        <v>0</v>
      </c>
      <c r="I167" s="36">
        <v>6</v>
      </c>
      <c r="J167" s="36"/>
      <c r="K167" s="36"/>
    </row>
    <row r="168" spans="1:11" ht="19.5" customHeight="1" x14ac:dyDescent="0.45">
      <c r="A168" s="38">
        <v>45997.681579201388</v>
      </c>
      <c r="B168" s="36">
        <v>4185.6000000000004</v>
      </c>
      <c r="C168" s="36">
        <v>3.24</v>
      </c>
      <c r="D168" s="60" t="s">
        <v>876</v>
      </c>
      <c r="E168" s="60" t="s">
        <v>876</v>
      </c>
      <c r="F168" s="36">
        <v>4000</v>
      </c>
      <c r="G168" s="36">
        <v>5</v>
      </c>
      <c r="H168" s="36">
        <v>0</v>
      </c>
      <c r="I168" s="36">
        <v>6</v>
      </c>
      <c r="J168" s="36"/>
      <c r="K168" s="36"/>
    </row>
    <row r="169" spans="1:11" ht="19.5" customHeight="1" x14ac:dyDescent="0.45">
      <c r="A169" s="38">
        <v>45997.681579293981</v>
      </c>
      <c r="B169" s="36">
        <v>4211.76</v>
      </c>
      <c r="C169" s="36">
        <v>3.37</v>
      </c>
      <c r="D169" s="60" t="s">
        <v>876</v>
      </c>
      <c r="E169" s="60" t="s">
        <v>876</v>
      </c>
      <c r="F169" s="36">
        <v>4000</v>
      </c>
      <c r="G169" s="36">
        <v>5</v>
      </c>
      <c r="H169" s="36">
        <v>0</v>
      </c>
      <c r="I169" s="36">
        <v>6</v>
      </c>
      <c r="J169" s="36"/>
      <c r="K169" s="36"/>
    </row>
    <row r="170" spans="1:11" ht="19.5" customHeight="1" x14ac:dyDescent="0.45">
      <c r="A170" s="38">
        <v>45997.681579386575</v>
      </c>
      <c r="B170" s="36">
        <v>4237.92</v>
      </c>
      <c r="C170" s="36">
        <v>3.47</v>
      </c>
      <c r="D170" s="60" t="s">
        <v>876</v>
      </c>
      <c r="E170" s="60" t="s">
        <v>876</v>
      </c>
      <c r="F170" s="36">
        <v>4000</v>
      </c>
      <c r="G170" s="36">
        <v>5</v>
      </c>
      <c r="H170" s="36">
        <v>0</v>
      </c>
      <c r="I170" s="36">
        <v>6</v>
      </c>
      <c r="J170" s="36"/>
      <c r="K170" s="36"/>
    </row>
    <row r="171" spans="1:11" ht="19.5" customHeight="1" x14ac:dyDescent="0.45">
      <c r="A171" s="38">
        <v>45997.681579490738</v>
      </c>
      <c r="B171" s="36">
        <v>4264.8</v>
      </c>
      <c r="C171" s="36">
        <v>3.57</v>
      </c>
      <c r="D171" s="60" t="s">
        <v>876</v>
      </c>
      <c r="E171" s="60" t="s">
        <v>876</v>
      </c>
      <c r="F171" s="36">
        <v>4000</v>
      </c>
      <c r="G171" s="36">
        <v>5</v>
      </c>
      <c r="H171" s="36">
        <v>0</v>
      </c>
      <c r="I171" s="36">
        <v>6</v>
      </c>
      <c r="J171" s="36"/>
      <c r="K171" s="36"/>
    </row>
    <row r="172" spans="1:11" ht="19.5" customHeight="1" x14ac:dyDescent="0.45">
      <c r="A172" s="38">
        <v>45997.681579571756</v>
      </c>
      <c r="B172" s="36">
        <v>4290.24</v>
      </c>
      <c r="C172" s="36">
        <v>3.65</v>
      </c>
      <c r="D172" s="60" t="s">
        <v>876</v>
      </c>
      <c r="E172" s="60" t="s">
        <v>876</v>
      </c>
      <c r="F172" s="36">
        <v>4000</v>
      </c>
      <c r="G172" s="36">
        <v>5</v>
      </c>
      <c r="H172" s="36">
        <v>0</v>
      </c>
      <c r="I172" s="36">
        <v>6</v>
      </c>
      <c r="J172" s="36"/>
      <c r="K172" s="36"/>
    </row>
    <row r="173" spans="1:11" ht="19.5" customHeight="1" x14ac:dyDescent="0.45">
      <c r="A173" s="38">
        <v>45997.681579675926</v>
      </c>
      <c r="B173" s="36">
        <v>4316.3999999999996</v>
      </c>
      <c r="C173" s="36">
        <v>3.71</v>
      </c>
      <c r="D173" s="60" t="s">
        <v>876</v>
      </c>
      <c r="E173" s="60" t="s">
        <v>876</v>
      </c>
      <c r="F173" s="36">
        <v>4000</v>
      </c>
      <c r="G173" s="36">
        <v>5</v>
      </c>
      <c r="H173" s="36">
        <v>0</v>
      </c>
      <c r="I173" s="36">
        <v>6</v>
      </c>
      <c r="J173" s="36"/>
      <c r="K173" s="36"/>
    </row>
    <row r="174" spans="1:11" ht="19.5" customHeight="1" x14ac:dyDescent="0.45">
      <c r="A174" s="38">
        <v>45997.681579756943</v>
      </c>
      <c r="B174" s="36">
        <v>4342.5600000000004</v>
      </c>
      <c r="C174" s="36">
        <v>3.73</v>
      </c>
      <c r="D174" s="60" t="s">
        <v>876</v>
      </c>
      <c r="E174" s="60" t="s">
        <v>876</v>
      </c>
      <c r="F174" s="36">
        <v>4000</v>
      </c>
      <c r="G174" s="36">
        <v>5</v>
      </c>
      <c r="H174" s="36">
        <v>0</v>
      </c>
      <c r="I174" s="36">
        <v>6</v>
      </c>
      <c r="J174" s="36"/>
      <c r="K174" s="36"/>
    </row>
    <row r="175" spans="1:11" ht="19.5" customHeight="1" x14ac:dyDescent="0.45">
      <c r="A175" s="38">
        <v>45997.681579849537</v>
      </c>
      <c r="B175" s="36">
        <v>4368.72</v>
      </c>
      <c r="C175" s="36">
        <v>3.67</v>
      </c>
      <c r="D175" s="60" t="s">
        <v>876</v>
      </c>
      <c r="E175" s="60" t="s">
        <v>876</v>
      </c>
      <c r="F175" s="36">
        <v>4000</v>
      </c>
      <c r="G175" s="36">
        <v>5</v>
      </c>
      <c r="H175" s="36">
        <v>0</v>
      </c>
      <c r="I175" s="36">
        <v>6</v>
      </c>
      <c r="J175" s="36"/>
      <c r="K175" s="36"/>
    </row>
    <row r="176" spans="1:11" ht="19.5" customHeight="1" x14ac:dyDescent="0.45">
      <c r="A176" s="38">
        <v>45997.681579953707</v>
      </c>
      <c r="B176" s="36">
        <v>4394.88</v>
      </c>
      <c r="C176" s="36">
        <v>3.51</v>
      </c>
      <c r="D176" s="60" t="s">
        <v>876</v>
      </c>
      <c r="E176" s="60" t="s">
        <v>876</v>
      </c>
      <c r="F176" s="36">
        <v>4000</v>
      </c>
      <c r="G176" s="36">
        <v>5</v>
      </c>
      <c r="H176" s="36">
        <v>0</v>
      </c>
      <c r="I176" s="36">
        <v>6</v>
      </c>
      <c r="J176" s="36"/>
      <c r="K176" s="36"/>
    </row>
    <row r="177" spans="1:11" ht="19.5" customHeight="1" x14ac:dyDescent="0.45">
      <c r="A177" s="38">
        <v>45997.68158005787</v>
      </c>
      <c r="B177" s="36">
        <v>4421.3999999999996</v>
      </c>
      <c r="C177" s="36">
        <v>3.16</v>
      </c>
      <c r="D177" s="60" t="s">
        <v>876</v>
      </c>
      <c r="E177" s="60" t="s">
        <v>876</v>
      </c>
      <c r="F177" s="36">
        <v>4000</v>
      </c>
      <c r="G177" s="36">
        <v>5</v>
      </c>
      <c r="H177" s="36">
        <v>0</v>
      </c>
      <c r="I177" s="36">
        <v>6</v>
      </c>
      <c r="J177" s="36"/>
      <c r="K177" s="36"/>
    </row>
    <row r="178" spans="1:11" ht="19.5" customHeight="1" x14ac:dyDescent="0.45">
      <c r="A178" s="38">
        <v>45997.681580138888</v>
      </c>
      <c r="B178" s="36">
        <v>4447.2</v>
      </c>
      <c r="C178" s="36">
        <v>2.61</v>
      </c>
      <c r="D178" s="60" t="s">
        <v>876</v>
      </c>
      <c r="E178" s="60" t="s">
        <v>876</v>
      </c>
      <c r="F178" s="36">
        <v>4000</v>
      </c>
      <c r="G178" s="36">
        <v>5</v>
      </c>
      <c r="H178" s="36">
        <v>0</v>
      </c>
      <c r="I178" s="36">
        <v>6</v>
      </c>
      <c r="J178" s="36"/>
      <c r="K178" s="36"/>
    </row>
    <row r="179" spans="1:11" ht="19.5" customHeight="1" x14ac:dyDescent="0.45">
      <c r="A179" s="38">
        <v>45997.681580231481</v>
      </c>
      <c r="B179" s="36">
        <v>4473.3599999999997</v>
      </c>
      <c r="C179" s="36">
        <v>1.92</v>
      </c>
      <c r="D179" s="60" t="s">
        <v>876</v>
      </c>
      <c r="E179" s="60" t="s">
        <v>876</v>
      </c>
      <c r="F179" s="36">
        <v>4000</v>
      </c>
      <c r="G179" s="36">
        <v>5</v>
      </c>
      <c r="H179" s="36">
        <v>1</v>
      </c>
      <c r="I179" s="36">
        <v>6</v>
      </c>
      <c r="J179" s="36"/>
      <c r="K179" s="36"/>
    </row>
    <row r="180" spans="1:11" ht="19.5" customHeight="1" x14ac:dyDescent="0.45">
      <c r="A180" s="38">
        <v>45997.681580324075</v>
      </c>
      <c r="B180" s="36">
        <v>4499.5200000000004</v>
      </c>
      <c r="C180" s="36">
        <v>1.18</v>
      </c>
      <c r="D180" s="60" t="s">
        <v>876</v>
      </c>
      <c r="E180" s="60" t="s">
        <v>876</v>
      </c>
      <c r="F180" s="36">
        <v>4000</v>
      </c>
      <c r="G180" s="36">
        <v>5</v>
      </c>
      <c r="H180" s="36">
        <v>1</v>
      </c>
      <c r="I180" s="36">
        <v>6</v>
      </c>
      <c r="J180" s="36"/>
      <c r="K180" s="36"/>
    </row>
    <row r="181" spans="1:11" ht="19.5" customHeight="1" x14ac:dyDescent="0.45">
      <c r="A181" s="38">
        <v>45997.681580428238</v>
      </c>
      <c r="B181" s="36">
        <v>4525.68</v>
      </c>
      <c r="C181" s="36">
        <v>0.53</v>
      </c>
      <c r="D181" s="60" t="s">
        <v>876</v>
      </c>
      <c r="E181" s="60" t="s">
        <v>876</v>
      </c>
      <c r="F181" s="36">
        <v>4000</v>
      </c>
      <c r="G181" s="36">
        <v>5</v>
      </c>
      <c r="H181" s="36">
        <v>1</v>
      </c>
      <c r="I181" s="36">
        <v>6</v>
      </c>
      <c r="J181" s="36"/>
      <c r="K181" s="36"/>
    </row>
    <row r="182" spans="1:11" ht="19.5" customHeight="1" x14ac:dyDescent="0.45">
      <c r="A182" s="38">
        <v>45997.681580520832</v>
      </c>
      <c r="B182" s="36">
        <v>4551.84</v>
      </c>
      <c r="C182" s="36">
        <v>0.43</v>
      </c>
      <c r="D182" s="60" t="s">
        <v>876</v>
      </c>
      <c r="E182" s="60" t="s">
        <v>876</v>
      </c>
      <c r="F182" s="36">
        <v>4000</v>
      </c>
      <c r="G182" s="36">
        <v>5</v>
      </c>
      <c r="H182" s="36">
        <v>1</v>
      </c>
      <c r="I182" s="36">
        <v>6</v>
      </c>
      <c r="J182" s="36"/>
      <c r="K182" s="36"/>
    </row>
    <row r="183" spans="1:11" ht="19.5" customHeight="1" x14ac:dyDescent="0.45">
      <c r="A183" s="38">
        <v>45997.681580578705</v>
      </c>
      <c r="B183" s="36">
        <v>4578</v>
      </c>
      <c r="C183" s="36">
        <v>0.47</v>
      </c>
      <c r="D183" s="60" t="s">
        <v>876</v>
      </c>
      <c r="E183" s="60" t="s">
        <v>876</v>
      </c>
      <c r="F183" s="36">
        <v>4000</v>
      </c>
      <c r="G183" s="36">
        <v>5</v>
      </c>
      <c r="H183" s="36">
        <v>1</v>
      </c>
      <c r="I183" s="36">
        <v>6</v>
      </c>
      <c r="J183" s="36"/>
      <c r="K183" s="36"/>
    </row>
    <row r="184" spans="1:11" ht="19.5" customHeight="1" x14ac:dyDescent="0.45">
      <c r="A184" s="38">
        <v>45997.681580671298</v>
      </c>
      <c r="B184" s="36">
        <v>4604.16</v>
      </c>
      <c r="C184" s="36">
        <v>0.51</v>
      </c>
      <c r="D184" s="60" t="s">
        <v>876</v>
      </c>
      <c r="E184" s="60" t="s">
        <v>876</v>
      </c>
      <c r="F184" s="36">
        <v>4000</v>
      </c>
      <c r="G184" s="36">
        <v>5</v>
      </c>
      <c r="H184" s="36">
        <v>1</v>
      </c>
      <c r="I184" s="36">
        <v>6</v>
      </c>
      <c r="J184" s="36"/>
      <c r="K184" s="36"/>
    </row>
    <row r="185" spans="1:11" ht="19.5" customHeight="1" x14ac:dyDescent="0.45">
      <c r="A185" s="38">
        <v>45997.681580763892</v>
      </c>
      <c r="B185" s="36">
        <v>4630.32</v>
      </c>
      <c r="C185" s="36">
        <v>0.63</v>
      </c>
      <c r="D185" s="60" t="s">
        <v>876</v>
      </c>
      <c r="E185" s="60" t="s">
        <v>876</v>
      </c>
      <c r="F185" s="36">
        <v>4000</v>
      </c>
      <c r="G185" s="36">
        <v>5</v>
      </c>
      <c r="H185" s="36">
        <v>1</v>
      </c>
      <c r="I185" s="36">
        <v>6</v>
      </c>
      <c r="J185" s="36"/>
      <c r="K185" s="36"/>
    </row>
    <row r="186" spans="1:11" ht="19.5" customHeight="1" x14ac:dyDescent="0.45">
      <c r="A186" s="38">
        <v>45997.681580856479</v>
      </c>
      <c r="B186" s="36">
        <v>4656.4799999999996</v>
      </c>
      <c r="C186" s="36">
        <v>0.82</v>
      </c>
      <c r="D186" s="60" t="s">
        <v>876</v>
      </c>
      <c r="E186" s="60" t="s">
        <v>876</v>
      </c>
      <c r="F186" s="36">
        <v>4000</v>
      </c>
      <c r="G186" s="36">
        <v>5</v>
      </c>
      <c r="H186" s="36">
        <v>1</v>
      </c>
      <c r="I186" s="36">
        <v>6</v>
      </c>
      <c r="J186" s="36"/>
      <c r="K186" s="36"/>
    </row>
    <row r="187" spans="1:11" ht="19.5" customHeight="1" x14ac:dyDescent="0.45">
      <c r="A187" s="38">
        <v>45997.681580949073</v>
      </c>
      <c r="B187" s="36">
        <v>4682.6400000000003</v>
      </c>
      <c r="C187" s="36">
        <v>1.08</v>
      </c>
      <c r="D187" s="60" t="s">
        <v>876</v>
      </c>
      <c r="E187" s="60" t="s">
        <v>876</v>
      </c>
      <c r="F187" s="36">
        <v>4000</v>
      </c>
      <c r="G187" s="36">
        <v>5</v>
      </c>
      <c r="H187" s="36">
        <v>1</v>
      </c>
      <c r="I187" s="36">
        <v>6</v>
      </c>
      <c r="J187" s="36"/>
      <c r="K187" s="36"/>
    </row>
    <row r="188" spans="1:11" ht="19.5" customHeight="1" x14ac:dyDescent="0.45">
      <c r="A188" s="38">
        <v>45997.681581041667</v>
      </c>
      <c r="B188" s="36">
        <v>4708.8</v>
      </c>
      <c r="C188" s="36">
        <v>1.33</v>
      </c>
      <c r="D188" s="60" t="s">
        <v>876</v>
      </c>
      <c r="E188" s="60" t="s">
        <v>876</v>
      </c>
      <c r="F188" s="36">
        <v>4000</v>
      </c>
      <c r="G188" s="36">
        <v>5</v>
      </c>
      <c r="H188" s="36">
        <v>1</v>
      </c>
      <c r="I188" s="36">
        <v>6</v>
      </c>
      <c r="J188" s="36"/>
      <c r="K188" s="36"/>
    </row>
    <row r="189" spans="1:11" ht="19.5" customHeight="1" x14ac:dyDescent="0.45">
      <c r="A189" s="38">
        <v>45997.681581145836</v>
      </c>
      <c r="B189" s="36">
        <v>4734.96</v>
      </c>
      <c r="C189" s="36">
        <v>1.61</v>
      </c>
      <c r="D189" s="60" t="s">
        <v>876</v>
      </c>
      <c r="E189" s="60" t="s">
        <v>876</v>
      </c>
      <c r="F189" s="36">
        <v>4000</v>
      </c>
      <c r="G189" s="36">
        <v>5</v>
      </c>
      <c r="H189" s="36">
        <v>1</v>
      </c>
      <c r="I189" s="36">
        <v>6</v>
      </c>
      <c r="J189" s="36"/>
      <c r="K189" s="36"/>
    </row>
    <row r="190" spans="1:11" ht="19.5" customHeight="1" x14ac:dyDescent="0.45">
      <c r="A190" s="38">
        <v>45997.681581238423</v>
      </c>
      <c r="B190" s="36">
        <v>4761.12</v>
      </c>
      <c r="C190" s="36">
        <v>1.86</v>
      </c>
      <c r="D190" s="60" t="s">
        <v>876</v>
      </c>
      <c r="E190" s="60" t="s">
        <v>876</v>
      </c>
      <c r="F190" s="36">
        <v>4000</v>
      </c>
      <c r="G190" s="36">
        <v>5</v>
      </c>
      <c r="H190" s="36">
        <v>1</v>
      </c>
      <c r="I190" s="36">
        <v>6</v>
      </c>
      <c r="J190" s="36"/>
      <c r="K190" s="36"/>
    </row>
    <row r="191" spans="1:11" ht="19.5" customHeight="1" x14ac:dyDescent="0.45">
      <c r="A191" s="38">
        <v>45997.681581331017</v>
      </c>
      <c r="B191" s="36">
        <v>4787.28</v>
      </c>
      <c r="C191" s="36">
        <v>2.1</v>
      </c>
      <c r="D191" s="60" t="s">
        <v>876</v>
      </c>
      <c r="E191" s="60" t="s">
        <v>876</v>
      </c>
      <c r="F191" s="36">
        <v>4000</v>
      </c>
      <c r="G191" s="36">
        <v>5</v>
      </c>
      <c r="H191" s="36">
        <v>0</v>
      </c>
      <c r="I191" s="36">
        <v>7</v>
      </c>
      <c r="J191" s="36"/>
      <c r="K191" s="36"/>
    </row>
    <row r="192" spans="1:11" ht="19.5" customHeight="1" x14ac:dyDescent="0.45">
      <c r="A192" s="38">
        <v>45997.681581435187</v>
      </c>
      <c r="B192" s="36">
        <v>4813.4399999999996</v>
      </c>
      <c r="C192" s="36">
        <v>2.33</v>
      </c>
      <c r="D192" s="60" t="s">
        <v>876</v>
      </c>
      <c r="E192" s="60" t="s">
        <v>876</v>
      </c>
      <c r="F192" s="36">
        <v>4000</v>
      </c>
      <c r="G192" s="36">
        <v>5</v>
      </c>
      <c r="H192" s="36">
        <v>0</v>
      </c>
      <c r="I192" s="36">
        <v>7</v>
      </c>
      <c r="J192" s="36"/>
      <c r="K192" s="36"/>
    </row>
    <row r="193" spans="1:11" ht="19.5" customHeight="1" x14ac:dyDescent="0.45">
      <c r="A193" s="38">
        <v>45997.681581516204</v>
      </c>
      <c r="B193" s="36">
        <v>4839.6000000000004</v>
      </c>
      <c r="C193" s="36">
        <v>2.5499999999999998</v>
      </c>
      <c r="D193" s="60" t="s">
        <v>876</v>
      </c>
      <c r="E193" s="60" t="s">
        <v>876</v>
      </c>
      <c r="F193" s="36">
        <v>4000</v>
      </c>
      <c r="G193" s="36">
        <v>5</v>
      </c>
      <c r="H193" s="36">
        <v>0</v>
      </c>
      <c r="I193" s="36">
        <v>7</v>
      </c>
      <c r="J193" s="36"/>
      <c r="K193" s="36"/>
    </row>
    <row r="194" spans="1:11" ht="19.5" customHeight="1" x14ac:dyDescent="0.45">
      <c r="A194" s="38">
        <v>45997.681581608798</v>
      </c>
      <c r="B194" s="36">
        <v>4865.76</v>
      </c>
      <c r="C194" s="36">
        <v>2.73</v>
      </c>
      <c r="D194" s="60" t="s">
        <v>876</v>
      </c>
      <c r="E194" s="60" t="s">
        <v>876</v>
      </c>
      <c r="F194" s="36">
        <v>4000</v>
      </c>
      <c r="G194" s="36">
        <v>5</v>
      </c>
      <c r="H194" s="36">
        <v>0</v>
      </c>
      <c r="I194" s="36">
        <v>7</v>
      </c>
      <c r="J194" s="36"/>
      <c r="K194" s="36"/>
    </row>
    <row r="195" spans="1:11" ht="19.5" customHeight="1" x14ac:dyDescent="0.45">
      <c r="A195" s="38">
        <v>45997.681581712961</v>
      </c>
      <c r="B195" s="36">
        <v>4891.92</v>
      </c>
      <c r="C195" s="36">
        <v>2.9</v>
      </c>
      <c r="D195" s="60" t="s">
        <v>876</v>
      </c>
      <c r="E195" s="60" t="s">
        <v>876</v>
      </c>
      <c r="F195" s="36">
        <v>4000</v>
      </c>
      <c r="G195" s="36">
        <v>5</v>
      </c>
      <c r="H195" s="36">
        <v>0</v>
      </c>
      <c r="I195" s="36">
        <v>7</v>
      </c>
      <c r="J195" s="36"/>
      <c r="K195" s="36"/>
    </row>
    <row r="196" spans="1:11" ht="19.5" customHeight="1" x14ac:dyDescent="0.45">
      <c r="A196" s="38">
        <v>45997.681581805555</v>
      </c>
      <c r="B196" s="36">
        <v>4918.8</v>
      </c>
      <c r="C196" s="36">
        <v>3.06</v>
      </c>
      <c r="D196" s="60" t="s">
        <v>876</v>
      </c>
      <c r="E196" s="60" t="s">
        <v>876</v>
      </c>
      <c r="F196" s="36">
        <v>4000</v>
      </c>
      <c r="G196" s="36">
        <v>5</v>
      </c>
      <c r="H196" s="36">
        <v>0</v>
      </c>
      <c r="I196" s="36">
        <v>7</v>
      </c>
      <c r="J196" s="36"/>
      <c r="K196" s="36"/>
    </row>
    <row r="197" spans="1:11" ht="19.5" customHeight="1" x14ac:dyDescent="0.45">
      <c r="A197" s="38">
        <v>45997.681581898149</v>
      </c>
      <c r="B197" s="36">
        <v>4944.24</v>
      </c>
      <c r="C197" s="36">
        <v>3.2</v>
      </c>
      <c r="D197" s="60" t="s">
        <v>876</v>
      </c>
      <c r="E197" s="60" t="s">
        <v>876</v>
      </c>
      <c r="F197" s="36">
        <v>4000</v>
      </c>
      <c r="G197" s="36">
        <v>5</v>
      </c>
      <c r="H197" s="36">
        <v>0</v>
      </c>
      <c r="I197" s="36">
        <v>7</v>
      </c>
      <c r="J197" s="36"/>
      <c r="K197" s="36"/>
    </row>
    <row r="198" spans="1:11" ht="19.5" customHeight="1" x14ac:dyDescent="0.45">
      <c r="A198" s="38">
        <v>45997.681581990742</v>
      </c>
      <c r="B198" s="36">
        <v>4970.3999999999996</v>
      </c>
      <c r="C198" s="36">
        <v>3.33</v>
      </c>
      <c r="D198" s="60" t="s">
        <v>876</v>
      </c>
      <c r="E198" s="60" t="s">
        <v>876</v>
      </c>
      <c r="F198" s="36">
        <v>4000</v>
      </c>
      <c r="G198" s="36">
        <v>5</v>
      </c>
      <c r="H198" s="36">
        <v>0</v>
      </c>
      <c r="I198" s="36">
        <v>7</v>
      </c>
      <c r="J198" s="36"/>
      <c r="K198" s="36"/>
    </row>
    <row r="199" spans="1:11" ht="19.5" customHeight="1" x14ac:dyDescent="0.45">
      <c r="A199" s="38">
        <v>45997.681582083336</v>
      </c>
      <c r="B199" s="36">
        <v>4996.5600000000004</v>
      </c>
      <c r="C199" s="36">
        <v>3.45</v>
      </c>
      <c r="D199" s="60" t="s">
        <v>876</v>
      </c>
      <c r="E199" s="60" t="s">
        <v>876</v>
      </c>
      <c r="F199" s="36">
        <v>4000</v>
      </c>
      <c r="G199" s="36">
        <v>5</v>
      </c>
      <c r="H199" s="36">
        <v>0</v>
      </c>
      <c r="I199" s="36">
        <v>7</v>
      </c>
      <c r="J199" s="36"/>
      <c r="K199" s="36"/>
    </row>
    <row r="200" spans="1:11" ht="19.5" customHeight="1" x14ac:dyDescent="0.45">
      <c r="A200" s="38">
        <v>45997.681582187499</v>
      </c>
      <c r="B200" s="36">
        <v>5022.72</v>
      </c>
      <c r="C200" s="36">
        <v>3.55</v>
      </c>
      <c r="D200" s="60" t="s">
        <v>876</v>
      </c>
      <c r="E200" s="60" t="s">
        <v>876</v>
      </c>
      <c r="F200" s="36">
        <v>4000</v>
      </c>
      <c r="G200" s="36">
        <v>5</v>
      </c>
      <c r="H200" s="36">
        <v>0</v>
      </c>
      <c r="I200" s="36">
        <v>7</v>
      </c>
      <c r="J200" s="36"/>
      <c r="K200" s="36"/>
    </row>
    <row r="201" spans="1:11" ht="19.5" customHeight="1" x14ac:dyDescent="0.45">
      <c r="A201" s="38">
        <v>45997.681582280093</v>
      </c>
      <c r="B201" s="36">
        <v>5048.88</v>
      </c>
      <c r="C201" s="36">
        <v>3.63</v>
      </c>
      <c r="D201" s="60" t="s">
        <v>876</v>
      </c>
      <c r="E201" s="60" t="s">
        <v>876</v>
      </c>
      <c r="F201" s="36">
        <v>4000</v>
      </c>
      <c r="G201" s="36">
        <v>5</v>
      </c>
      <c r="H201" s="36">
        <v>0</v>
      </c>
      <c r="I201" s="36">
        <v>7</v>
      </c>
      <c r="J201" s="36"/>
      <c r="K201" s="36"/>
    </row>
    <row r="202" spans="1:11" ht="19.5" customHeight="1" x14ac:dyDescent="0.45">
      <c r="A202" s="38">
        <v>45997.681582372687</v>
      </c>
      <c r="B202" s="36">
        <v>5075.3999999999996</v>
      </c>
      <c r="C202" s="36">
        <v>3.69</v>
      </c>
      <c r="D202" s="60" t="s">
        <v>876</v>
      </c>
      <c r="E202" s="60" t="s">
        <v>876</v>
      </c>
      <c r="F202" s="36">
        <v>4000</v>
      </c>
      <c r="G202" s="36">
        <v>5</v>
      </c>
      <c r="H202" s="36">
        <v>0</v>
      </c>
      <c r="I202" s="36">
        <v>7</v>
      </c>
      <c r="J202" s="36"/>
      <c r="K202" s="36"/>
    </row>
    <row r="203" spans="1:11" ht="19.5" customHeight="1" x14ac:dyDescent="0.45">
      <c r="A203" s="38">
        <v>45997.681582453704</v>
      </c>
      <c r="B203" s="36">
        <v>5101.2</v>
      </c>
      <c r="C203" s="36">
        <v>3.73</v>
      </c>
      <c r="D203" s="60" t="s">
        <v>876</v>
      </c>
      <c r="E203" s="60" t="s">
        <v>876</v>
      </c>
      <c r="F203" s="36">
        <v>4000</v>
      </c>
      <c r="G203" s="36">
        <v>5</v>
      </c>
      <c r="H203" s="36">
        <v>0</v>
      </c>
      <c r="I203" s="36">
        <v>7</v>
      </c>
      <c r="J203" s="36"/>
      <c r="K203" s="36"/>
    </row>
    <row r="204" spans="1:11" ht="19.5" customHeight="1" x14ac:dyDescent="0.45">
      <c r="A204" s="38">
        <v>45997.681582546298</v>
      </c>
      <c r="B204" s="36">
        <v>5127.3599999999997</v>
      </c>
      <c r="C204" s="36">
        <v>3.71</v>
      </c>
      <c r="D204" s="60" t="s">
        <v>876</v>
      </c>
      <c r="E204" s="60" t="s">
        <v>876</v>
      </c>
      <c r="F204" s="36">
        <v>4000</v>
      </c>
      <c r="G204" s="36">
        <v>5</v>
      </c>
      <c r="H204" s="36">
        <v>0</v>
      </c>
      <c r="I204" s="36">
        <v>7</v>
      </c>
      <c r="J204" s="36"/>
      <c r="K204" s="36"/>
    </row>
    <row r="205" spans="1:11" ht="19.5" customHeight="1" x14ac:dyDescent="0.45">
      <c r="A205" s="38">
        <v>45997.681582650461</v>
      </c>
      <c r="B205" s="36">
        <v>5153.5200000000004</v>
      </c>
      <c r="C205" s="36">
        <v>3.59</v>
      </c>
      <c r="D205" s="60" t="s">
        <v>876</v>
      </c>
      <c r="E205" s="60" t="s">
        <v>876</v>
      </c>
      <c r="F205" s="36">
        <v>4000</v>
      </c>
      <c r="G205" s="36">
        <v>5</v>
      </c>
      <c r="H205" s="36">
        <v>0</v>
      </c>
      <c r="I205" s="36">
        <v>7</v>
      </c>
      <c r="J205" s="36"/>
      <c r="K205" s="36"/>
    </row>
    <row r="206" spans="1:11" ht="19.5" customHeight="1" x14ac:dyDescent="0.45">
      <c r="A206" s="38">
        <v>45997.681582754631</v>
      </c>
      <c r="B206" s="36">
        <v>5179.68</v>
      </c>
      <c r="C206" s="36">
        <v>3.31</v>
      </c>
      <c r="D206" s="60" t="s">
        <v>876</v>
      </c>
      <c r="E206" s="60" t="s">
        <v>876</v>
      </c>
      <c r="F206" s="36">
        <v>4000</v>
      </c>
      <c r="G206" s="36">
        <v>5</v>
      </c>
      <c r="H206" s="36">
        <v>0</v>
      </c>
      <c r="I206" s="36">
        <v>7</v>
      </c>
      <c r="J206" s="36"/>
      <c r="K206" s="36"/>
    </row>
    <row r="207" spans="1:11" ht="19.5" customHeight="1" x14ac:dyDescent="0.45">
      <c r="A207" s="39">
        <v>45997.681582835648</v>
      </c>
      <c r="B207" s="40">
        <v>5205.84</v>
      </c>
      <c r="C207" s="40">
        <v>2.84</v>
      </c>
      <c r="D207" s="61" t="s">
        <v>876</v>
      </c>
      <c r="E207" s="61" t="s">
        <v>876</v>
      </c>
      <c r="F207" s="40">
        <v>4000</v>
      </c>
      <c r="G207" s="40">
        <v>5</v>
      </c>
      <c r="H207" s="40">
        <v>0</v>
      </c>
      <c r="I207" s="40">
        <v>7</v>
      </c>
      <c r="J207" s="40"/>
      <c r="K207" s="40"/>
    </row>
    <row r="208" spans="1:11" ht="19.5" customHeight="1" x14ac:dyDescent="0.45"/>
    <row r="209" s="17" customFormat="1" ht="19.5" customHeight="1" x14ac:dyDescent="0.45"/>
    <row r="210" s="17" customFormat="1" ht="19.5" customHeight="1" x14ac:dyDescent="0.45"/>
    <row r="211" s="17" customFormat="1" ht="19.5" customHeight="1" x14ac:dyDescent="0.45"/>
    <row r="212" s="17" customFormat="1" ht="19.5" customHeight="1" x14ac:dyDescent="0.45"/>
    <row r="213" s="17" customFormat="1" ht="19.5" customHeight="1" x14ac:dyDescent="0.45"/>
    <row r="214" s="17" customFormat="1" ht="19.5" customHeight="1" x14ac:dyDescent="0.45"/>
    <row r="215" s="17" customFormat="1" ht="19.5" customHeight="1" x14ac:dyDescent="0.45"/>
    <row r="216" s="17" customFormat="1" ht="19.5" customHeight="1" x14ac:dyDescent="0.45"/>
    <row r="217" s="17" customFormat="1" ht="19.5" customHeight="1" x14ac:dyDescent="0.45"/>
    <row r="218" s="17" customFormat="1" ht="19.5" customHeight="1" x14ac:dyDescent="0.45"/>
    <row r="219" s="17" customFormat="1" ht="19.5" customHeight="1" x14ac:dyDescent="0.45"/>
    <row r="220" s="17" customFormat="1" ht="19.5" customHeight="1" x14ac:dyDescent="0.45"/>
    <row r="221" s="17" customFormat="1" ht="19.5" customHeight="1" x14ac:dyDescent="0.45"/>
    <row r="222" s="17" customFormat="1" ht="19.5" customHeight="1" x14ac:dyDescent="0.45"/>
    <row r="223" s="17" customFormat="1" ht="19.5" customHeight="1" x14ac:dyDescent="0.45"/>
    <row r="224" s="17" customFormat="1" ht="19.5" customHeight="1" x14ac:dyDescent="0.45"/>
    <row r="225" s="17" customFormat="1" ht="19.5" customHeight="1" x14ac:dyDescent="0.45"/>
    <row r="226" s="17" customFormat="1" ht="19.5" customHeight="1" x14ac:dyDescent="0.45"/>
    <row r="227" s="17" customFormat="1" ht="19.5" customHeight="1" x14ac:dyDescent="0.45"/>
    <row r="228" s="17" customFormat="1" ht="19.5" customHeight="1" x14ac:dyDescent="0.45"/>
    <row r="229" s="17" customFormat="1" ht="19.5" customHeight="1" x14ac:dyDescent="0.45"/>
    <row r="230" s="17" customFormat="1" ht="19.5" customHeight="1" x14ac:dyDescent="0.45"/>
    <row r="231" s="17" customFormat="1" ht="19.5" customHeight="1" x14ac:dyDescent="0.45"/>
    <row r="232" s="17" customFormat="1" ht="19.5" customHeight="1" x14ac:dyDescent="0.45"/>
    <row r="233" s="17" customFormat="1" ht="19.5" customHeight="1" x14ac:dyDescent="0.45"/>
    <row r="234" s="17" customFormat="1" ht="19.5" customHeight="1" x14ac:dyDescent="0.45"/>
    <row r="235" s="17" customFormat="1" ht="19.5" customHeight="1" x14ac:dyDescent="0.45"/>
    <row r="236" s="17" customFormat="1" ht="19.5" customHeight="1" x14ac:dyDescent="0.45"/>
    <row r="237" s="17" customFormat="1" ht="19.5" customHeight="1" x14ac:dyDescent="0.45"/>
    <row r="238" s="17" customFormat="1" ht="19.5" customHeight="1" x14ac:dyDescent="0.45"/>
    <row r="239" s="17" customFormat="1" ht="19.5" customHeight="1" x14ac:dyDescent="0.45"/>
    <row r="240" s="17" customFormat="1" ht="19.5" customHeight="1" x14ac:dyDescent="0.45"/>
    <row r="241" s="17" customFormat="1" ht="19.5" customHeight="1" x14ac:dyDescent="0.45"/>
    <row r="242" s="17" customFormat="1" ht="19.5" customHeight="1" x14ac:dyDescent="0.45"/>
    <row r="243" s="17" customFormat="1" ht="19.5" customHeight="1" x14ac:dyDescent="0.45"/>
    <row r="244" s="17" customFormat="1" ht="19.5" customHeight="1" x14ac:dyDescent="0.45"/>
    <row r="245" s="17" customFormat="1" ht="19.5" customHeight="1" x14ac:dyDescent="0.45"/>
    <row r="246" s="17" customFormat="1" ht="19.5" customHeight="1" x14ac:dyDescent="0.45"/>
    <row r="247" s="17" customFormat="1" ht="19.5" customHeight="1" x14ac:dyDescent="0.45"/>
    <row r="248" s="17" customFormat="1" ht="19.5" customHeight="1" x14ac:dyDescent="0.45"/>
    <row r="249" s="17" customFormat="1" ht="19.5" customHeight="1" x14ac:dyDescent="0.45"/>
    <row r="250" s="17" customFormat="1" ht="19.5" customHeight="1" x14ac:dyDescent="0.45"/>
    <row r="251" s="17" customFormat="1" ht="19.5" customHeight="1" x14ac:dyDescent="0.45"/>
    <row r="252" s="17" customFormat="1" ht="19.5" customHeight="1" x14ac:dyDescent="0.45"/>
    <row r="253" s="17" customFormat="1" ht="19.5" customHeight="1" x14ac:dyDescent="0.45"/>
    <row r="254" s="17" customFormat="1" ht="19.5" customHeight="1" x14ac:dyDescent="0.45"/>
    <row r="255" s="17" customFormat="1" ht="19.5" customHeight="1" x14ac:dyDescent="0.45"/>
    <row r="256" s="17" customFormat="1" ht="19.5" customHeight="1" x14ac:dyDescent="0.45"/>
    <row r="257" s="17" customFormat="1" ht="19.5" customHeight="1" x14ac:dyDescent="0.45"/>
    <row r="258" s="17" customFormat="1" ht="19.5" customHeight="1" x14ac:dyDescent="0.45"/>
    <row r="259" s="17" customFormat="1" ht="19.5" customHeight="1" x14ac:dyDescent="0.45"/>
    <row r="260" s="17" customFormat="1" ht="19.5" customHeight="1" x14ac:dyDescent="0.45"/>
    <row r="261" s="17" customFormat="1" ht="19.5" customHeight="1" x14ac:dyDescent="0.45"/>
    <row r="262" s="17" customFormat="1" ht="19.5" customHeight="1" x14ac:dyDescent="0.45"/>
    <row r="263" s="17" customFormat="1" ht="19.5" customHeight="1" x14ac:dyDescent="0.45"/>
    <row r="264" s="17" customFormat="1" ht="19.5" customHeight="1" x14ac:dyDescent="0.45"/>
    <row r="265" s="17" customFormat="1" ht="19.5" customHeight="1" x14ac:dyDescent="0.45"/>
    <row r="266" s="17" customFormat="1" ht="19.5" customHeight="1" x14ac:dyDescent="0.45"/>
    <row r="267" s="17" customFormat="1" ht="19.5" customHeight="1" x14ac:dyDescent="0.45"/>
    <row r="268" s="17" customFormat="1" ht="19.5" customHeight="1" x14ac:dyDescent="0.45"/>
    <row r="269" s="17" customFormat="1" ht="19.5" customHeight="1" x14ac:dyDescent="0.45"/>
    <row r="270" s="17" customFormat="1" ht="19.5" customHeight="1" x14ac:dyDescent="0.45"/>
    <row r="271" s="17" customFormat="1" ht="19.5" customHeight="1" x14ac:dyDescent="0.45"/>
    <row r="272" s="17" customFormat="1" ht="19.5" customHeight="1" x14ac:dyDescent="0.45"/>
    <row r="273" s="17" customFormat="1" ht="19.5" customHeight="1" x14ac:dyDescent="0.45"/>
    <row r="274" s="17" customFormat="1" ht="19.5" customHeight="1" x14ac:dyDescent="0.45"/>
    <row r="275" s="17" customFormat="1" ht="19.5" customHeight="1" x14ac:dyDescent="0.45"/>
    <row r="276" s="17" customFormat="1" ht="19.5" customHeight="1" x14ac:dyDescent="0.45"/>
    <row r="277" s="17" customFormat="1" ht="19.5" customHeight="1" x14ac:dyDescent="0.45"/>
    <row r="278" s="17" customFormat="1" ht="19.5" customHeight="1" x14ac:dyDescent="0.45"/>
    <row r="279" s="17" customFormat="1" ht="19.5" customHeight="1" x14ac:dyDescent="0.45"/>
    <row r="280" s="17" customFormat="1" ht="19.5" customHeight="1" x14ac:dyDescent="0.45"/>
    <row r="281" s="17" customFormat="1" ht="19.5" customHeight="1" x14ac:dyDescent="0.45"/>
    <row r="282" s="17" customFormat="1" ht="19.5" customHeight="1" x14ac:dyDescent="0.45"/>
    <row r="283" s="17" customFormat="1" ht="19.5" customHeight="1" x14ac:dyDescent="0.45"/>
    <row r="284" s="17" customFormat="1" ht="19.5" customHeight="1" x14ac:dyDescent="0.45"/>
    <row r="285" s="17" customFormat="1" ht="19.5" customHeight="1" x14ac:dyDescent="0.45"/>
    <row r="286" s="17" customFormat="1" ht="19.5" customHeight="1" x14ac:dyDescent="0.45"/>
    <row r="287" s="17" customFormat="1" ht="19.5" customHeight="1" x14ac:dyDescent="0.45"/>
    <row r="288" s="17" customFormat="1" ht="19.5" customHeight="1" x14ac:dyDescent="0.45"/>
    <row r="289" s="17" customFormat="1" ht="19.5" customHeight="1" x14ac:dyDescent="0.45"/>
    <row r="290" s="17" customFormat="1" ht="19.5" customHeight="1" x14ac:dyDescent="0.45"/>
    <row r="291" s="17" customFormat="1" ht="19.5" customHeight="1" x14ac:dyDescent="0.45"/>
    <row r="292" s="17" customFormat="1" ht="19.5" customHeight="1" x14ac:dyDescent="0.45"/>
    <row r="293" s="17" customFormat="1" ht="19.5" customHeight="1" x14ac:dyDescent="0.45"/>
    <row r="294" s="17" customFormat="1" ht="19.5" customHeight="1" x14ac:dyDescent="0.45"/>
    <row r="295" s="17" customFormat="1" ht="19.5" customHeight="1" x14ac:dyDescent="0.45"/>
    <row r="296" s="17" customFormat="1" ht="19.5" customHeight="1" x14ac:dyDescent="0.45"/>
    <row r="297" s="17" customFormat="1" ht="19.5" customHeight="1" x14ac:dyDescent="0.45"/>
    <row r="298" s="17" customFormat="1" ht="19.5" customHeight="1" x14ac:dyDescent="0.45"/>
    <row r="299" s="17" customFormat="1" ht="19.5" customHeight="1" x14ac:dyDescent="0.45"/>
    <row r="300" s="17" customFormat="1" ht="19.5" customHeight="1" x14ac:dyDescent="0.45"/>
    <row r="301" s="17" customFormat="1" ht="19.5" customHeight="1" x14ac:dyDescent="0.45"/>
    <row r="302" s="17" customFormat="1" ht="19.5" customHeight="1" x14ac:dyDescent="0.45"/>
    <row r="303" s="17" customFormat="1" ht="19.5" customHeight="1" x14ac:dyDescent="0.45"/>
    <row r="304" s="17" customFormat="1" ht="19.5" customHeight="1" x14ac:dyDescent="0.45"/>
    <row r="305" s="17" customFormat="1" ht="19.5" customHeight="1" x14ac:dyDescent="0.45"/>
    <row r="306" s="17" customFormat="1" ht="19.5" customHeight="1" x14ac:dyDescent="0.45"/>
    <row r="307" s="17" customFormat="1" ht="19.5" customHeight="1" x14ac:dyDescent="0.45"/>
    <row r="308" s="17" customFormat="1" ht="19.5" customHeight="1" x14ac:dyDescent="0.45"/>
    <row r="309" s="17" customFormat="1" ht="19.5" customHeight="1" x14ac:dyDescent="0.45"/>
    <row r="310" s="17" customFormat="1" ht="19.5" customHeight="1" x14ac:dyDescent="0.45"/>
    <row r="311" s="17" customFormat="1" ht="19.5" customHeight="1" x14ac:dyDescent="0.45"/>
    <row r="312" s="17" customFormat="1" ht="19.5" customHeight="1" x14ac:dyDescent="0.45"/>
    <row r="313" s="17" customFormat="1" ht="19.5" customHeight="1" x14ac:dyDescent="0.45"/>
    <row r="314" s="17" customFormat="1" ht="19.5" customHeight="1" x14ac:dyDescent="0.45"/>
    <row r="315" s="17" customFormat="1" ht="19.5" customHeight="1" x14ac:dyDescent="0.45"/>
    <row r="316" s="17" customFormat="1" ht="19.5" customHeight="1" x14ac:dyDescent="0.45"/>
    <row r="317" s="17" customFormat="1" ht="19.5" customHeight="1" x14ac:dyDescent="0.45"/>
    <row r="318" s="17" customFormat="1" ht="19.5" customHeight="1" x14ac:dyDescent="0.45"/>
    <row r="319" s="17" customFormat="1" ht="19.5" customHeight="1" x14ac:dyDescent="0.45"/>
    <row r="320" s="17" customFormat="1" ht="19.5" customHeight="1" x14ac:dyDescent="0.45"/>
    <row r="321" s="17" customFormat="1" ht="19.5" customHeight="1" x14ac:dyDescent="0.45"/>
    <row r="322" s="17" customFormat="1" ht="19.5" customHeight="1" x14ac:dyDescent="0.45"/>
    <row r="323" s="17" customFormat="1" ht="19.5" customHeight="1" x14ac:dyDescent="0.45"/>
    <row r="324" s="17" customFormat="1" ht="19.5" customHeight="1" x14ac:dyDescent="0.45"/>
    <row r="325" s="17" customFormat="1" ht="19.5" customHeight="1" x14ac:dyDescent="0.45"/>
    <row r="326" s="17" customFormat="1" ht="19.5" customHeight="1" x14ac:dyDescent="0.45"/>
    <row r="327" s="17" customFormat="1" ht="19.5" customHeight="1" x14ac:dyDescent="0.45"/>
    <row r="328" s="17" customFormat="1" ht="19.5" customHeight="1" x14ac:dyDescent="0.45"/>
    <row r="329" s="17" customFormat="1" ht="19.5" customHeight="1" x14ac:dyDescent="0.45"/>
    <row r="330" s="17" customFormat="1" ht="19.5" customHeight="1" x14ac:dyDescent="0.45"/>
    <row r="331" s="17" customFormat="1" ht="19.5" customHeight="1" x14ac:dyDescent="0.45"/>
    <row r="332" s="17" customFormat="1" ht="19.5" customHeight="1" x14ac:dyDescent="0.45"/>
    <row r="333" s="17" customFormat="1" ht="19.5" customHeight="1" x14ac:dyDescent="0.45"/>
    <row r="334" s="17" customFormat="1" ht="19.5" customHeight="1" x14ac:dyDescent="0.45"/>
    <row r="335" s="17" customFormat="1" ht="19.5" customHeight="1" x14ac:dyDescent="0.45"/>
    <row r="336" s="17" customFormat="1" ht="19.5" customHeight="1" x14ac:dyDescent="0.45"/>
    <row r="337" s="17" customFormat="1" ht="19.5" customHeight="1" x14ac:dyDescent="0.45"/>
    <row r="338" s="17" customFormat="1" ht="19.5" customHeight="1" x14ac:dyDescent="0.45"/>
    <row r="339" s="17" customFormat="1" ht="19.5" customHeight="1" x14ac:dyDescent="0.45"/>
    <row r="340" s="17" customFormat="1" ht="19.5" customHeight="1" x14ac:dyDescent="0.45"/>
    <row r="341" s="17" customFormat="1" ht="19.5" customHeight="1" x14ac:dyDescent="0.45"/>
    <row r="342" s="17" customFormat="1" ht="19.5" customHeight="1" x14ac:dyDescent="0.45"/>
    <row r="343" s="17" customFormat="1" ht="19.5" customHeight="1" x14ac:dyDescent="0.45"/>
    <row r="344" s="17" customFormat="1" ht="19.5" customHeight="1" x14ac:dyDescent="0.45"/>
    <row r="345" s="17" customFormat="1" ht="19.5" customHeight="1" x14ac:dyDescent="0.45"/>
    <row r="346" s="17" customFormat="1" ht="19.5" customHeight="1" x14ac:dyDescent="0.45"/>
    <row r="347" s="17" customFormat="1" ht="19.5" customHeight="1" x14ac:dyDescent="0.45"/>
    <row r="348" s="17" customFormat="1" ht="19.5" customHeight="1" x14ac:dyDescent="0.45"/>
    <row r="349" s="17" customFormat="1" ht="19.5" customHeight="1" x14ac:dyDescent="0.45"/>
    <row r="350" s="17" customFormat="1" ht="19.5" customHeight="1" x14ac:dyDescent="0.45"/>
    <row r="351" s="17" customFormat="1" ht="19.5" customHeight="1" x14ac:dyDescent="0.45"/>
    <row r="352" s="17" customFormat="1" ht="19.5" customHeight="1" x14ac:dyDescent="0.45"/>
    <row r="353" s="17" customFormat="1" ht="19.5" customHeight="1" x14ac:dyDescent="0.45"/>
    <row r="354" s="17" customFormat="1" ht="19.5" customHeight="1" x14ac:dyDescent="0.45"/>
    <row r="355" s="17" customFormat="1" ht="19.5" customHeight="1" x14ac:dyDescent="0.45"/>
    <row r="356" s="17" customFormat="1" ht="19.5" customHeight="1" x14ac:dyDescent="0.45"/>
    <row r="357" s="17" customFormat="1" ht="19.5" customHeight="1" x14ac:dyDescent="0.45"/>
    <row r="358" s="17" customFormat="1" ht="19.5" customHeight="1" x14ac:dyDescent="0.45"/>
    <row r="359" s="17" customFormat="1" ht="19.5" customHeight="1" x14ac:dyDescent="0.45"/>
    <row r="360" s="17" customFormat="1" ht="19.5" customHeight="1" x14ac:dyDescent="0.45"/>
    <row r="361" s="17" customFormat="1" ht="19.5" customHeight="1" x14ac:dyDescent="0.45"/>
    <row r="362" s="17" customFormat="1" ht="19.5" customHeight="1" x14ac:dyDescent="0.45"/>
    <row r="363" s="17" customFormat="1" ht="19.5" customHeight="1" x14ac:dyDescent="0.45"/>
    <row r="364" s="17" customFormat="1" ht="19.5" customHeight="1" x14ac:dyDescent="0.45"/>
    <row r="365" s="17" customFormat="1" ht="19.5" customHeight="1" x14ac:dyDescent="0.45"/>
    <row r="366" s="17" customFormat="1" ht="19.5" customHeight="1" x14ac:dyDescent="0.45"/>
    <row r="367" s="17" customFormat="1" ht="19.5" customHeight="1" x14ac:dyDescent="0.45"/>
    <row r="368" s="17" customFormat="1" ht="19.5" customHeight="1" x14ac:dyDescent="0.45"/>
    <row r="369" s="17" customFormat="1" ht="19.5" customHeight="1" x14ac:dyDescent="0.45"/>
    <row r="370" s="17" customFormat="1" ht="19.5" customHeight="1" x14ac:dyDescent="0.45"/>
    <row r="371" s="17" customFormat="1" ht="19.5" customHeight="1" x14ac:dyDescent="0.45"/>
    <row r="372" s="17" customFormat="1" ht="19.5" customHeight="1" x14ac:dyDescent="0.45"/>
    <row r="373" s="17" customFormat="1" ht="19.5" customHeight="1" x14ac:dyDescent="0.45"/>
    <row r="374" s="17" customFormat="1" ht="19.5" customHeight="1" x14ac:dyDescent="0.45"/>
    <row r="375" s="17" customFormat="1" ht="19.5" customHeight="1" x14ac:dyDescent="0.45"/>
    <row r="376" s="17" customFormat="1" ht="19.5" customHeight="1" x14ac:dyDescent="0.45"/>
    <row r="377" s="17" customFormat="1" ht="19.5" customHeight="1" x14ac:dyDescent="0.45"/>
    <row r="378" s="17" customFormat="1" ht="19.5" customHeight="1" x14ac:dyDescent="0.45"/>
    <row r="379" s="17" customFormat="1" ht="19.5" customHeight="1" x14ac:dyDescent="0.45"/>
    <row r="380" s="17" customFormat="1" ht="19.5" customHeight="1" x14ac:dyDescent="0.45"/>
    <row r="381" s="17" customFormat="1" ht="19.5" customHeight="1" x14ac:dyDescent="0.45"/>
    <row r="382" s="17" customFormat="1" ht="19.5" customHeight="1" x14ac:dyDescent="0.45"/>
    <row r="383" s="17" customFormat="1" ht="19.5" customHeight="1" x14ac:dyDescent="0.45"/>
    <row r="384" s="17" customFormat="1" ht="19.5" customHeight="1" x14ac:dyDescent="0.45"/>
    <row r="385" s="17" customFormat="1" ht="19.5" customHeight="1" x14ac:dyDescent="0.45"/>
    <row r="386" s="17" customFormat="1" ht="19.5" customHeight="1" x14ac:dyDescent="0.45"/>
    <row r="387" s="17" customFormat="1" ht="19.5" customHeight="1" x14ac:dyDescent="0.45"/>
    <row r="388" s="17" customFormat="1" ht="19.5" customHeight="1" x14ac:dyDescent="0.45"/>
    <row r="389" s="17" customFormat="1" ht="19.5" customHeight="1" x14ac:dyDescent="0.45"/>
    <row r="390" s="17" customFormat="1" ht="19.5" customHeight="1" x14ac:dyDescent="0.45"/>
    <row r="391" s="17" customFormat="1" ht="19.5" customHeight="1" x14ac:dyDescent="0.45"/>
    <row r="392" s="17" customFormat="1" ht="19.5" customHeight="1" x14ac:dyDescent="0.45"/>
    <row r="393" s="17" customFormat="1" ht="19.5" customHeight="1" x14ac:dyDescent="0.45"/>
    <row r="394" s="17" customFormat="1" ht="19.5" customHeight="1" x14ac:dyDescent="0.45"/>
    <row r="395" s="17" customFormat="1" ht="19.5" customHeight="1" x14ac:dyDescent="0.45"/>
    <row r="396" s="17" customFormat="1" ht="19.5" customHeight="1" x14ac:dyDescent="0.45"/>
    <row r="397" s="17" customFormat="1" ht="19.5" customHeight="1" x14ac:dyDescent="0.45"/>
    <row r="398" s="17" customFormat="1" ht="19.5" customHeight="1" x14ac:dyDescent="0.45"/>
    <row r="399" s="17" customFormat="1" ht="19.5" customHeight="1" x14ac:dyDescent="0.45"/>
    <row r="400" s="17" customFormat="1" ht="19.5" customHeight="1" x14ac:dyDescent="0.45"/>
    <row r="401" s="17" customFormat="1" ht="19.5" customHeight="1" x14ac:dyDescent="0.45"/>
    <row r="402" s="17" customFormat="1" ht="19.5" customHeight="1" x14ac:dyDescent="0.45"/>
    <row r="403" s="17" customFormat="1" ht="19.5" customHeight="1" x14ac:dyDescent="0.45"/>
    <row r="404" s="17" customFormat="1" ht="19.5" customHeight="1" x14ac:dyDescent="0.45"/>
    <row r="405" s="17" customFormat="1" ht="19.5" customHeight="1" x14ac:dyDescent="0.45"/>
    <row r="406" s="17" customFormat="1" ht="19.5" customHeight="1" x14ac:dyDescent="0.45"/>
    <row r="407" s="17" customFormat="1" ht="19.5" customHeight="1" x14ac:dyDescent="0.45"/>
  </sheetData>
  <mergeCells count="4">
    <mergeCell ref="A1:J1"/>
    <mergeCell ref="A2:J2"/>
    <mergeCell ref="A3:K3"/>
    <mergeCell ref="A6:K6"/>
  </mergeCells>
  <dataValidations count="22">
    <dataValidation allowBlank="1" showInputMessage="1" showErrorMessage="1" prompt="Time_x000d__x000a__x000d__x000a_TBL_CUR[TIME]" sqref="A5" xr:uid="{D2E1A08F-48EF-4AB4-9FEE-E64044669D93}"/>
    <dataValidation allowBlank="1" showInputMessage="1" showErrorMessage="1" prompt="TBL_CUR[CH1]" sqref="B5" xr:uid="{B97AB8B3-547D-4B1F-A574-175A9A6F597B}"/>
    <dataValidation allowBlank="1" showInputMessage="1" showErrorMessage="1" prompt="TBL_CUR[CH2]" sqref="C5" xr:uid="{5B4DC170-6F5E-4D62-96CB-AB58FFE8E824}"/>
    <dataValidation allowBlank="1" showInputMessage="1" showErrorMessage="1" prompt="TBL_CUR[CH3]" sqref="D5" xr:uid="{EEA8D1F5-E5CC-47B1-A256-455F38461113}"/>
    <dataValidation allowBlank="1" showInputMessage="1" showErrorMessage="1" prompt="TBL_CUR[CH4]" sqref="E5" xr:uid="{03B99866-EBF9-458F-8BFF-94660E22290B}"/>
    <dataValidation allowBlank="1" showInputMessage="1" showErrorMessage="1" prompt="TBL_CUR[CH5]" sqref="F5" xr:uid="{6831A35D-68F7-44DF-A0D9-D8CF492E74BD}"/>
    <dataValidation allowBlank="1" showInputMessage="1" showErrorMessage="1" prompt="TBL_CUR[CH6]" sqref="G5" xr:uid="{74FBCB1B-6CBE-45F0-9AB6-4901B8940E2A}"/>
    <dataValidation allowBlank="1" showInputMessage="1" showErrorMessage="1" prompt="TBL_CUR[CH7]" sqref="H5" xr:uid="{08EE3AB6-64DB-4FAD-B064-2B12F3808504}"/>
    <dataValidation allowBlank="1" showInputMessage="1" showErrorMessage="1" prompt="TBL_CUR[CH8]" sqref="I5" xr:uid="{9A751ED2-4C3A-4C5F-BFA6-9A1328B98DEE}"/>
    <dataValidation allowBlank="1" showInputMessage="1" showErrorMessage="1" prompt="TBL_CUR[CH9]" sqref="J5" xr:uid="{AA4146A5-9111-4AAF-A3E5-6DDEAEBF14D6}"/>
    <dataValidation allowBlank="1" showInputMessage="1" showErrorMessage="1" prompt="TBL_CUR[CH10]" sqref="K5" xr:uid="{B9C64138-D7BD-4821-8391-76DBF98E16E1}"/>
    <dataValidation allowBlank="1" showInputMessage="1" showErrorMessage="1" prompt="Time_x000d__x000a__x000d__x000a_TBL_HST[TIME]" sqref="A7 A8:A207" xr:uid="{74E065E5-8B97-407E-96D8-CCB80E1324F7}"/>
    <dataValidation allowBlank="1" showInputMessage="1" showErrorMessage="1" prompt="TBL_HST[CH1]" sqref="B7 B8:B207" xr:uid="{B89F8B27-B69E-4D8D-95BE-26CFEBAF99F9}"/>
    <dataValidation allowBlank="1" showInputMessage="1" showErrorMessage="1" prompt="TBL_HST[CH2]" sqref="C7 C8:C207" xr:uid="{01BB9296-676E-44D0-AAEB-F7D77B2F1820}"/>
    <dataValidation allowBlank="1" showInputMessage="1" showErrorMessage="1" prompt="TBL_HST[CH3]" sqref="D7 D8:D207" xr:uid="{1C867E42-791A-4032-A0BD-85FFD5B237D5}"/>
    <dataValidation allowBlank="1" showInputMessage="1" showErrorMessage="1" prompt="TBL_HST[CH4]" sqref="E7 E8:E207" xr:uid="{87AAF4F8-8344-4725-8104-F02865FD7B82}"/>
    <dataValidation allowBlank="1" showInputMessage="1" showErrorMessage="1" prompt="TBL_HST[CH5]" sqref="F7 F8:F207" xr:uid="{EB1C4601-89AC-4EC8-923D-D56529C2BFE1}"/>
    <dataValidation allowBlank="1" showInputMessage="1" showErrorMessage="1" prompt="TBL_HST[CH6]" sqref="G7 G8:G207" xr:uid="{EC1F543A-EADF-48AE-9741-89D799A8C109}"/>
    <dataValidation allowBlank="1" showInputMessage="1" showErrorMessage="1" prompt="TBL_HST[CH7]" sqref="H7 H8:H207" xr:uid="{C9507DED-FD42-48EB-8C3E-FDA4CE6D4CAA}"/>
    <dataValidation allowBlank="1" showInputMessage="1" showErrorMessage="1" prompt="TBL_HST[CH8]" sqref="I7 I8:I207" xr:uid="{0FD50C28-0DA4-48BF-89B2-1B95E3D922F9}"/>
    <dataValidation allowBlank="1" showInputMessage="1" showErrorMessage="1" prompt="TBL_HST[CH9]" sqref="J7 J8:J207" xr:uid="{C10BDBF0-95E3-4F39-AE0B-7C67F1300FA4}"/>
    <dataValidation allowBlank="1" showInputMessage="1" showErrorMessage="1" prompt="TBL_HST[CH10]" sqref="K7 K8:K207" xr:uid="{364AF9F5-E8C0-4A48-AD8A-0580FF0871DD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1ED9-3731-4A55-9C3F-28ABECDD476C}">
  <dimension ref="A1:J5"/>
  <sheetViews>
    <sheetView workbookViewId="0">
      <selection activeCell="B6" sqref="B6"/>
    </sheetView>
  </sheetViews>
  <sheetFormatPr defaultRowHeight="14.25" x14ac:dyDescent="0.45"/>
  <cols>
    <col min="1" max="10" width="11.3984375" customWidth="1"/>
  </cols>
  <sheetData>
    <row r="1" spans="1:10" ht="28.5" x14ac:dyDescent="0.95">
      <c r="A1" s="66" t="s">
        <v>447</v>
      </c>
      <c r="B1" s="66"/>
      <c r="C1" s="66"/>
      <c r="D1" s="66"/>
      <c r="E1" s="66"/>
      <c r="F1" s="66"/>
      <c r="G1" s="66"/>
      <c r="H1" s="66"/>
    </row>
    <row r="2" spans="1:10" ht="16.5" x14ac:dyDescent="0.45">
      <c r="A2" s="67" t="s">
        <v>448</v>
      </c>
      <c r="B2" s="67"/>
      <c r="C2" s="67"/>
      <c r="D2" s="67"/>
      <c r="E2" s="67"/>
      <c r="F2" s="67"/>
      <c r="G2" s="67"/>
      <c r="H2" s="67"/>
    </row>
    <row r="3" spans="1:10" ht="17.55" customHeight="1" x14ac:dyDescent="0.45"/>
    <row r="4" spans="1:10" ht="19.5" customHeight="1" x14ac:dyDescent="0.45">
      <c r="A4" s="83" t="s">
        <v>428</v>
      </c>
      <c r="B4" s="84" t="s">
        <v>430</v>
      </c>
      <c r="C4" s="84" t="s">
        <v>431</v>
      </c>
      <c r="D4" s="84" t="s">
        <v>432</v>
      </c>
      <c r="E4" s="84" t="s">
        <v>433</v>
      </c>
      <c r="F4" s="84" t="s">
        <v>434</v>
      </c>
      <c r="G4" s="84" t="s">
        <v>435</v>
      </c>
      <c r="H4" s="84" t="s">
        <v>436</v>
      </c>
      <c r="I4" s="84" t="s">
        <v>437</v>
      </c>
      <c r="J4" s="84" t="s">
        <v>438</v>
      </c>
    </row>
    <row r="5" spans="1:10" ht="27" customHeight="1" x14ac:dyDescent="0.45">
      <c r="A5" s="31">
        <f>'CH2 DStream'!AB33</f>
        <v>4000</v>
      </c>
      <c r="B5" s="31">
        <f>'CH2 DStream'!AB34</f>
        <v>5</v>
      </c>
      <c r="C5" s="31"/>
      <c r="D5" s="31"/>
      <c r="E5" s="31"/>
      <c r="F5" s="31"/>
      <c r="G5" s="31"/>
      <c r="H5" s="31"/>
      <c r="I5" s="31"/>
      <c r="J5" s="31"/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8701-CDCB-4AC1-AB40-9CA761367A0D}">
  <dimension ref="A1:E13"/>
  <sheetViews>
    <sheetView workbookViewId="0">
      <selection activeCell="I17" sqref="I17"/>
    </sheetView>
  </sheetViews>
  <sheetFormatPr defaultColWidth="9.1328125" defaultRowHeight="14.25" x14ac:dyDescent="0.45"/>
  <cols>
    <col min="1" max="1" width="30.59765625" style="28" customWidth="1"/>
    <col min="2" max="2" width="0.1328125" style="28" customWidth="1"/>
    <col min="3" max="3" width="30.59765625" style="28" customWidth="1"/>
    <col min="4" max="16384" width="9.1328125" style="28"/>
  </cols>
  <sheetData>
    <row r="1" spans="1:5" ht="28.5" x14ac:dyDescent="0.95">
      <c r="A1" s="68" t="s">
        <v>439</v>
      </c>
      <c r="B1" s="68"/>
      <c r="C1" s="68"/>
      <c r="D1" s="68"/>
      <c r="E1" s="68"/>
    </row>
    <row r="2" spans="1:5" ht="50" customHeight="1" x14ac:dyDescent="0.45">
      <c r="A2" s="69" t="s">
        <v>440</v>
      </c>
      <c r="B2" s="69"/>
      <c r="C2" s="69"/>
      <c r="D2" s="69"/>
      <c r="E2" s="69"/>
    </row>
    <row r="3" spans="1:5" ht="4.5" customHeight="1" x14ac:dyDescent="0.45"/>
    <row r="4" spans="1:5" ht="24" customHeight="1" x14ac:dyDescent="0.45">
      <c r="A4" s="82" t="s">
        <v>441</v>
      </c>
      <c r="B4" s="29">
        <v>150</v>
      </c>
      <c r="C4" s="30">
        <v>150</v>
      </c>
    </row>
    <row r="5" spans="1:5" ht="4.5" customHeight="1" x14ac:dyDescent="0.45"/>
    <row r="6" spans="1:5" ht="24" customHeight="1" x14ac:dyDescent="0.45">
      <c r="A6" s="82" t="s">
        <v>442</v>
      </c>
      <c r="B6" s="29">
        <v>15</v>
      </c>
      <c r="C6" s="30">
        <v>200</v>
      </c>
    </row>
    <row r="7" spans="1:5" ht="4.5" customHeight="1" x14ac:dyDescent="0.45"/>
    <row r="8" spans="1:5" ht="24" customHeight="1" x14ac:dyDescent="0.45">
      <c r="A8" s="82" t="s">
        <v>443</v>
      </c>
      <c r="B8" s="29">
        <v>10</v>
      </c>
      <c r="C8" s="30">
        <v>10</v>
      </c>
    </row>
    <row r="9" spans="1:5" ht="4.5" customHeight="1" x14ac:dyDescent="0.45"/>
    <row r="10" spans="1:5" ht="24" customHeight="1" x14ac:dyDescent="0.45">
      <c r="A10" s="82" t="s">
        <v>444</v>
      </c>
      <c r="B10" s="29" t="s">
        <v>445</v>
      </c>
      <c r="C10" s="30" t="s">
        <v>445</v>
      </c>
    </row>
    <row r="13" spans="1:5" ht="50" customHeight="1" x14ac:dyDescent="0.45">
      <c r="A13" s="70" t="s">
        <v>446</v>
      </c>
      <c r="B13" s="70"/>
      <c r="C13" s="70"/>
      <c r="D13" s="70"/>
      <c r="E13" s="70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Value must be from 10 to 1000" prompt="Minimum duration between data readings, in milliseconds. 10 to 1000" sqref="C4" xr:uid="{9046908E-AFF7-47BB-A4A5-11584F7853E3}">
      <formula1>10</formula1>
      <formula2>1000</formula2>
    </dataValidation>
    <dataValidation type="whole" allowBlank="1" showInputMessage="1" showErrorMessage="1" error="Value must be from 1 to 1000000" prompt="Number of historical data rows to keep. 1 to 1000000" sqref="C6" xr:uid="{5337BA9F-1456-415B-966A-85FC7FDFFAAB}">
      <formula1>1</formula1>
      <formula2>1000000</formula2>
    </dataValidation>
    <dataValidation type="whole" allowBlank="1" showInputMessage="1" showErrorMessage="1" error="Value must be from 1 to 1000" prompt="Number of data columns to read. 1 to 1000" sqref="C8" xr:uid="{80D2D97C-E29F-4CFD-BD8E-6C6C4E84A83B}">
      <formula1>1</formula1>
      <formula2>1000</formula2>
    </dataValidation>
    <dataValidation type="list" errorStyle="information" allowBlank="1" showInputMessage="1" sqref="C10" xr:uid="{9E9981CF-FC38-4847-BB76-87283A766745}">
      <formula1>"Newest first,Newest last"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874C-934B-45C2-8EDD-1281BDFD976F}">
  <dimension ref="A1:L16"/>
  <sheetViews>
    <sheetView workbookViewId="0">
      <selection activeCell="H9" sqref="H9"/>
    </sheetView>
  </sheetViews>
  <sheetFormatPr defaultColWidth="9.1328125" defaultRowHeight="14.25" x14ac:dyDescent="0.45"/>
  <cols>
    <col min="1" max="2" width="3.59765625" style="18" customWidth="1"/>
    <col min="3" max="3" width="14.59765625" style="18" customWidth="1"/>
    <col min="4" max="4" width="18.59765625" style="18" customWidth="1"/>
    <col min="5" max="5" width="60.59765625" style="18" customWidth="1"/>
    <col min="6" max="6" width="16.59765625" style="18" customWidth="1"/>
    <col min="7" max="7" width="12.59765625" style="18" customWidth="1"/>
    <col min="8" max="8" width="9.1328125" style="18"/>
    <col min="9" max="9" width="16.59765625" style="18" customWidth="1"/>
    <col min="10" max="10" width="60.59765625" style="18" customWidth="1"/>
    <col min="11" max="16384" width="9.1328125" style="18"/>
  </cols>
  <sheetData>
    <row r="1" spans="1:12" ht="28.5" x14ac:dyDescent="0.95">
      <c r="A1" s="71" t="s">
        <v>869</v>
      </c>
      <c r="B1" s="71"/>
      <c r="C1" s="71"/>
      <c r="D1" s="71"/>
      <c r="E1" s="71"/>
      <c r="F1" s="71"/>
      <c r="G1" s="71"/>
      <c r="L1" s="76" t="s">
        <v>878</v>
      </c>
    </row>
    <row r="2" spans="1:12" ht="48" customHeight="1" x14ac:dyDescent="0.45">
      <c r="A2" s="72" t="s">
        <v>422</v>
      </c>
      <c r="B2" s="72"/>
      <c r="C2" s="72"/>
      <c r="D2" s="72"/>
      <c r="E2" s="72"/>
      <c r="F2" s="72"/>
      <c r="G2" s="72"/>
    </row>
    <row r="3" spans="1:12" ht="26" customHeight="1" x14ac:dyDescent="0.85">
      <c r="B3" s="75" t="s">
        <v>418</v>
      </c>
      <c r="C3" s="75"/>
      <c r="D3" s="75"/>
      <c r="E3" s="75"/>
      <c r="F3" s="75"/>
      <c r="G3" s="75"/>
      <c r="H3" s="75"/>
    </row>
    <row r="4" spans="1:12" ht="26" customHeight="1" x14ac:dyDescent="0.6">
      <c r="B4" s="73"/>
      <c r="C4" s="73"/>
      <c r="D4" s="73"/>
      <c r="E4" s="73"/>
      <c r="F4" s="73"/>
      <c r="G4" s="73"/>
      <c r="I4" s="77" t="s">
        <v>419</v>
      </c>
      <c r="J4" s="77"/>
    </row>
    <row r="5" spans="1:12" ht="24" customHeight="1" x14ac:dyDescent="0.45">
      <c r="B5" s="80"/>
      <c r="C5" s="19" t="s">
        <v>423</v>
      </c>
      <c r="D5" s="19" t="s">
        <v>424</v>
      </c>
      <c r="E5" s="19" t="s">
        <v>425</v>
      </c>
      <c r="F5" s="19" t="s">
        <v>426</v>
      </c>
      <c r="G5" s="19" t="s">
        <v>427</v>
      </c>
      <c r="I5" s="78" t="s">
        <v>877</v>
      </c>
      <c r="J5" s="78"/>
      <c r="K5" s="76">
        <v>1</v>
      </c>
    </row>
    <row r="6" spans="1:12" ht="24" customHeight="1" x14ac:dyDescent="0.6">
      <c r="B6" s="80"/>
      <c r="C6" s="81" t="s">
        <v>428</v>
      </c>
      <c r="D6" s="21" t="s">
        <v>428</v>
      </c>
      <c r="E6" s="21"/>
      <c r="F6" s="21"/>
      <c r="G6" s="20" t="s">
        <v>429</v>
      </c>
      <c r="I6" s="77" t="s">
        <v>420</v>
      </c>
      <c r="J6" s="77"/>
    </row>
    <row r="7" spans="1:12" ht="24" customHeight="1" x14ac:dyDescent="0.45">
      <c r="B7" s="80"/>
      <c r="C7" s="23" t="s">
        <v>430</v>
      </c>
      <c r="D7" s="24" t="s">
        <v>430</v>
      </c>
      <c r="E7" s="24"/>
      <c r="F7" s="24"/>
      <c r="G7" s="22" t="s">
        <v>429</v>
      </c>
      <c r="I7" s="79">
        <v>150</v>
      </c>
    </row>
    <row r="8" spans="1:12" ht="24" customHeight="1" x14ac:dyDescent="0.6">
      <c r="B8" s="80"/>
      <c r="C8" s="23" t="s">
        <v>431</v>
      </c>
      <c r="D8" s="24" t="s">
        <v>431</v>
      </c>
      <c r="E8" s="24"/>
      <c r="F8" s="24"/>
      <c r="G8" s="22" t="s">
        <v>429</v>
      </c>
      <c r="I8" s="77" t="s">
        <v>421</v>
      </c>
      <c r="J8" s="77"/>
    </row>
    <row r="9" spans="1:12" ht="24" customHeight="1" x14ac:dyDescent="0.45">
      <c r="B9" s="80"/>
      <c r="C9" s="23" t="s">
        <v>432</v>
      </c>
      <c r="D9" s="24" t="s">
        <v>432</v>
      </c>
      <c r="E9" s="24"/>
      <c r="F9" s="24"/>
      <c r="G9" s="22" t="s">
        <v>429</v>
      </c>
      <c r="I9" s="79">
        <v>38400</v>
      </c>
    </row>
    <row r="10" spans="1:12" ht="24" customHeight="1" x14ac:dyDescent="0.45">
      <c r="B10" s="80"/>
      <c r="C10" s="23" t="s">
        <v>433</v>
      </c>
      <c r="D10" s="24" t="s">
        <v>433</v>
      </c>
      <c r="E10" s="24"/>
      <c r="F10" s="24"/>
      <c r="G10" s="22" t="s">
        <v>429</v>
      </c>
    </row>
    <row r="11" spans="1:12" ht="24" customHeight="1" x14ac:dyDescent="0.45">
      <c r="B11" s="80"/>
      <c r="C11" s="23" t="s">
        <v>434</v>
      </c>
      <c r="D11" s="24" t="s">
        <v>434</v>
      </c>
      <c r="E11" s="24"/>
      <c r="F11" s="24"/>
      <c r="G11" s="22" t="s">
        <v>429</v>
      </c>
    </row>
    <row r="12" spans="1:12" ht="24" customHeight="1" x14ac:dyDescent="0.45">
      <c r="B12" s="80"/>
      <c r="C12" s="23" t="s">
        <v>435</v>
      </c>
      <c r="D12" s="24" t="s">
        <v>435</v>
      </c>
      <c r="E12" s="24"/>
      <c r="F12" s="24"/>
      <c r="G12" s="22" t="s">
        <v>429</v>
      </c>
    </row>
    <row r="13" spans="1:12" ht="24" customHeight="1" x14ac:dyDescent="0.45">
      <c r="B13" s="80"/>
      <c r="C13" s="23" t="s">
        <v>436</v>
      </c>
      <c r="D13" s="24" t="s">
        <v>436</v>
      </c>
      <c r="E13" s="24"/>
      <c r="F13" s="24"/>
      <c r="G13" s="22" t="s">
        <v>429</v>
      </c>
    </row>
    <row r="14" spans="1:12" ht="24" customHeight="1" x14ac:dyDescent="0.45">
      <c r="B14" s="80"/>
      <c r="C14" s="23" t="s">
        <v>437</v>
      </c>
      <c r="D14" s="24" t="s">
        <v>437</v>
      </c>
      <c r="E14" s="24"/>
      <c r="F14" s="24"/>
      <c r="G14" s="22" t="s">
        <v>429</v>
      </c>
    </row>
    <row r="15" spans="1:12" ht="24" customHeight="1" thickBot="1" x14ac:dyDescent="0.5">
      <c r="B15" s="74"/>
      <c r="C15" s="25" t="s">
        <v>438</v>
      </c>
      <c r="D15" s="26" t="s">
        <v>438</v>
      </c>
      <c r="E15" s="26"/>
      <c r="F15" s="26"/>
      <c r="G15" s="27" t="s">
        <v>429</v>
      </c>
    </row>
    <row r="16" spans="1:12" ht="14.65" thickTop="1" x14ac:dyDescent="0.45"/>
  </sheetData>
  <mergeCells count="9">
    <mergeCell ref="I4:J4"/>
    <mergeCell ref="I5:J5"/>
    <mergeCell ref="I6:J6"/>
    <mergeCell ref="I8:J8"/>
    <mergeCell ref="A1:G1"/>
    <mergeCell ref="A2:G2"/>
    <mergeCell ref="B4:G4"/>
    <mergeCell ref="B5:B15"/>
    <mergeCell ref="B3:H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78D9-EE39-4A18-AB64-BC43EE097AF8}">
  <dimension ref="A1:AM202"/>
  <sheetViews>
    <sheetView showGridLines="0" tabSelected="1" topLeftCell="U3" zoomScale="90" zoomScaleNormal="90" workbookViewId="0">
      <selection activeCell="Y18" sqref="Y18"/>
    </sheetView>
  </sheetViews>
  <sheetFormatPr defaultRowHeight="14.25" x14ac:dyDescent="0.45"/>
  <cols>
    <col min="1" max="1" width="23.86328125" style="1" customWidth="1"/>
    <col min="2" max="5" width="9.3984375" style="1" customWidth="1"/>
    <col min="6" max="6" width="12.3984375" style="1" bestFit="1" customWidth="1"/>
    <col min="7" max="7" width="8.3984375" style="1" bestFit="1" customWidth="1"/>
    <col min="8" max="8" width="9.73046875" style="1" bestFit="1" customWidth="1"/>
    <col min="9" max="10" width="10.86328125" style="1" customWidth="1"/>
    <col min="11" max="11" width="9.73046875" style="1" customWidth="1"/>
    <col min="12" max="13" width="7.73046875" style="1" customWidth="1"/>
    <col min="24" max="24" width="9.1328125" style="58"/>
    <col min="27" max="27" width="12.265625" bestFit="1" customWidth="1"/>
    <col min="31" max="31" width="10.265625" bestFit="1" customWidth="1"/>
    <col min="32" max="32" width="12.86328125" bestFit="1" customWidth="1"/>
    <col min="33" max="33" width="14.86328125" customWidth="1"/>
    <col min="38" max="38" width="12.59765625" customWidth="1"/>
  </cols>
  <sheetData>
    <row r="1" spans="1:39" ht="22.15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2" t="s">
        <v>12</v>
      </c>
      <c r="J1" s="2" t="s">
        <v>13</v>
      </c>
      <c r="K1" s="2" t="s">
        <v>14</v>
      </c>
      <c r="L1" s="2" t="s">
        <v>464</v>
      </c>
      <c r="M1" s="2" t="s">
        <v>465</v>
      </c>
      <c r="N1" s="53" t="s">
        <v>453</v>
      </c>
      <c r="O1" s="53" t="s">
        <v>454</v>
      </c>
      <c r="P1" s="53" t="s">
        <v>455</v>
      </c>
      <c r="Q1" s="54" t="s">
        <v>456</v>
      </c>
      <c r="R1" s="54" t="s">
        <v>457</v>
      </c>
      <c r="S1" s="54" t="s">
        <v>458</v>
      </c>
      <c r="T1" s="54" t="s">
        <v>460</v>
      </c>
      <c r="U1" s="54" t="s">
        <v>459</v>
      </c>
      <c r="V1" s="54" t="s">
        <v>867</v>
      </c>
      <c r="W1" s="54" t="s">
        <v>868</v>
      </c>
      <c r="X1" s="57">
        <f>MAX(X2:X201)</f>
        <v>0</v>
      </c>
      <c r="Y1" t="s">
        <v>461</v>
      </c>
    </row>
    <row r="2" spans="1:39" x14ac:dyDescent="0.45">
      <c r="A2" s="1" t="s">
        <v>20</v>
      </c>
      <c r="B2" s="1">
        <f>FIND(":",$A2,1)</f>
        <v>6</v>
      </c>
      <c r="C2" s="1">
        <f>FIND(":",$A2,B2+1)</f>
        <v>8</v>
      </c>
      <c r="D2" s="1">
        <f>FIND(":",$A2,C2+1)</f>
        <v>13</v>
      </c>
      <c r="E2" s="1" t="e">
        <f>FIND(":",$A2,D2+1)</f>
        <v>#VALUE!</v>
      </c>
      <c r="F2" s="3">
        <f>IF(Table156[[#This Row],[seq]]&gt;=Table156[[#Totals],[seq]],'Data In'!B8,"")</f>
        <v>0</v>
      </c>
      <c r="G2" s="4">
        <f>'Data In'!C8</f>
        <v>0.51</v>
      </c>
      <c r="H2" s="3" t="e">
        <f>_xlfn.NUMBERVALUE(MID($A2,E2+1,1000))</f>
        <v>#VALUE!</v>
      </c>
      <c r="I2" s="1" t="b">
        <f t="shared" ref="I2:I31" si="0">AND(G1&lt;Threshold,G2&gt;Threshold)</f>
        <v>0</v>
      </c>
      <c r="K2" s="1" t="str">
        <f>IF(AND(Table156[[#This Row],[Rising Through Threshold]],J1&gt;0),J2-J1,"")</f>
        <v/>
      </c>
      <c r="L2" s="41">
        <f>IF(Table156[[#This Row],[Voltage]]&gt;Threshold,1,0)</f>
        <v>0</v>
      </c>
      <c r="M2" s="41" t="b">
        <f>AND(Table156[[#This Row],[Last]]&gt;0,Table156[[#This Row],[Last]]&lt;MAX(Table156[Last]))</f>
        <v>0</v>
      </c>
      <c r="N2" s="41" t="str">
        <f>'Data In'!D8</f>
        <v>a</v>
      </c>
      <c r="O2" s="41" t="str">
        <f>'Data In'!E8</f>
        <v>a</v>
      </c>
      <c r="P2" s="41" t="e">
        <f>_xlfn.NUMBERVALUE(MID($A2,K2+1,1000))</f>
        <v>#VALUE!</v>
      </c>
      <c r="Q2" s="41" t="e">
        <f t="shared" ref="Q2:Q33" si="1">AND(O1&lt;Threshold2,O2&gt;Threshold2)</f>
        <v>#DIV/0!</v>
      </c>
      <c r="R2" s="41"/>
      <c r="S2" s="41" t="e">
        <f>IF(AND(Table156[[#This Row],[Rising Through Threshold2]],R1&gt;0),R2-R1,"")</f>
        <v>#DIV/0!</v>
      </c>
      <c r="T2" s="41" t="e">
        <f>IF(Table156[[#This Row],[Voltage2]]&gt;Threshold2,1,0)</f>
        <v>#DIV/0!</v>
      </c>
      <c r="U2" s="41" t="e">
        <f>AND(Table156[[#This Row],[Last2]]&gt;0,Table156[[#This Row],[Last2]]&lt;MAX(Table156[Last2]))</f>
        <v>#DIV/0!</v>
      </c>
      <c r="V2" s="41" t="b">
        <f>OR('Data In'!B8&gt;'Data In'!B7)</f>
        <v>0</v>
      </c>
      <c r="W2" s="41">
        <f>COUNTIF($V$2:V2,"false")</f>
        <v>1</v>
      </c>
      <c r="X2" s="57"/>
      <c r="Y2">
        <f>COUNTIF(Table156[include in duty2],TRUE)</f>
        <v>0</v>
      </c>
      <c r="Z2" s="5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</row>
    <row r="3" spans="1:39" x14ac:dyDescent="0.45">
      <c r="A3" s="1" t="s">
        <v>21</v>
      </c>
      <c r="B3" s="1">
        <f t="shared" ref="B3:B66" si="2">FIND(":",$A3,1)</f>
        <v>6</v>
      </c>
      <c r="C3" s="1">
        <f t="shared" ref="C3:E31" si="3">FIND(":",$A3,B3+1)</f>
        <v>10</v>
      </c>
      <c r="D3" s="1">
        <f t="shared" si="3"/>
        <v>15</v>
      </c>
      <c r="E3" s="1" t="e">
        <f t="shared" si="3"/>
        <v>#VALUE!</v>
      </c>
      <c r="F3" s="3">
        <f>IF(Table156[[#This Row],[seq]]&gt;=Table156[[#Totals],[seq]],'Data In'!B9,"")</f>
        <v>26.16</v>
      </c>
      <c r="G3" s="4">
        <f>'Data In'!C9</f>
        <v>0.63</v>
      </c>
      <c r="H3" s="3" t="e">
        <f t="shared" ref="H3:H66" si="4">_xlfn.NUMBERVALUE(MID($A3,E3+1,1000))</f>
        <v>#VALUE!</v>
      </c>
      <c r="I3" s="1" t="b">
        <f t="shared" si="0"/>
        <v>0</v>
      </c>
      <c r="J3" s="1">
        <f>IF(Table156[[#This Row],[Rising Through Threshold]],Table156[[#This Row],[Start time]],J2)</f>
        <v>0</v>
      </c>
      <c r="K3" s="1" t="str">
        <f>IF(AND(Table156[[#This Row],[Rising Through Threshold]],J2&gt;0),J3-J2,"")</f>
        <v/>
      </c>
      <c r="L3" s="1">
        <f>IF(Table156[[#This Row],[Voltage]]&gt;Threshold,1,0)</f>
        <v>0</v>
      </c>
      <c r="M3" s="1" t="b">
        <f>AND(Table156[[#This Row],[Last]]&gt;0,Table156[[#This Row],[Last]]&lt;MAX(Table156[Last]))</f>
        <v>0</v>
      </c>
      <c r="N3" s="41" t="str">
        <f>'Data In'!D9</f>
        <v>a</v>
      </c>
      <c r="O3" s="41" t="str">
        <f>'Data In'!E9</f>
        <v>a</v>
      </c>
      <c r="P3" s="41" t="e">
        <f t="shared" ref="P3:P66" si="5">_xlfn.NUMBERVALUE(MID($A3,K3+1,1000))</f>
        <v>#VALUE!</v>
      </c>
      <c r="Q3" s="41" t="e">
        <f t="shared" si="1"/>
        <v>#DIV/0!</v>
      </c>
      <c r="R3" s="41" t="e">
        <f>IF(Table156[[#This Row],[Rising Through Threshold2]],Table156[[#This Row],[Start time2]],R2)</f>
        <v>#DIV/0!</v>
      </c>
      <c r="S3" s="41" t="e">
        <f>IF(AND(Table156[[#This Row],[Rising Through Threshold2]],R2&gt;0),R3-R2,"")</f>
        <v>#DIV/0!</v>
      </c>
      <c r="T3" s="41" t="e">
        <f>IF(Table156[[#This Row],[Voltage2]]&gt;Threshold2,1,0)</f>
        <v>#DIV/0!</v>
      </c>
      <c r="U3" s="41" t="e">
        <f>AND(Table156[[#This Row],[Last2]]&gt;0,Table156[[#This Row],[Last2]]&lt;MAX(Table156[Last2]))</f>
        <v>#DIV/0!</v>
      </c>
      <c r="V3" s="41" t="b">
        <f>OR('Data In'!B9&gt;'Data In'!B8)</f>
        <v>1</v>
      </c>
      <c r="W3" s="41">
        <f>COUNTIF($V$2:V3,"false")</f>
        <v>1</v>
      </c>
      <c r="X3" s="57"/>
      <c r="Y3" t="s">
        <v>462</v>
      </c>
      <c r="Z3" s="8"/>
      <c r="AM3" s="9"/>
    </row>
    <row r="4" spans="1:39" x14ac:dyDescent="0.45">
      <c r="A4" s="1" t="s">
        <v>22</v>
      </c>
      <c r="B4" s="1">
        <f t="shared" si="2"/>
        <v>6</v>
      </c>
      <c r="C4" s="1">
        <f t="shared" si="3"/>
        <v>10</v>
      </c>
      <c r="D4" s="1">
        <f t="shared" si="3"/>
        <v>15</v>
      </c>
      <c r="E4" s="1" t="e">
        <f t="shared" si="3"/>
        <v>#VALUE!</v>
      </c>
      <c r="F4" s="3">
        <f>IF(Table156[[#This Row],[seq]]&gt;=Table156[[#Totals],[seq]],'Data In'!B10,"")</f>
        <v>52.32</v>
      </c>
      <c r="G4" s="4">
        <f>'Data In'!C10</f>
        <v>0.8</v>
      </c>
      <c r="H4" s="3" t="e">
        <f t="shared" si="4"/>
        <v>#VALUE!</v>
      </c>
      <c r="I4" s="1" t="b">
        <f t="shared" si="0"/>
        <v>0</v>
      </c>
      <c r="J4" s="1">
        <f>IF(Table156[[#This Row],[Rising Through Threshold]],Table156[[#This Row],[Start time]],J3)</f>
        <v>0</v>
      </c>
      <c r="K4" s="1" t="str">
        <f>IF(AND(Table156[[#This Row],[Rising Through Threshold]],J3&gt;0),J4-J3,"")</f>
        <v/>
      </c>
      <c r="L4" s="1">
        <f>IF(Table156[[#This Row],[Voltage]]&gt;Threshold,1,0)</f>
        <v>0</v>
      </c>
      <c r="M4" s="1" t="b">
        <f>AND(Table156[[#This Row],[Last]]&gt;0,Table156[[#This Row],[Last]]&lt;MAX(Table156[Last]))</f>
        <v>0</v>
      </c>
      <c r="N4" s="41" t="str">
        <f>'Data In'!D10</f>
        <v>a</v>
      </c>
      <c r="O4" s="41" t="str">
        <f>'Data In'!E10</f>
        <v>a</v>
      </c>
      <c r="P4" s="41" t="e">
        <f t="shared" si="5"/>
        <v>#VALUE!</v>
      </c>
      <c r="Q4" s="41" t="e">
        <f t="shared" si="1"/>
        <v>#DIV/0!</v>
      </c>
      <c r="R4" s="41" t="e">
        <f>IF(Table156[[#This Row],[Rising Through Threshold2]],Table156[[#This Row],[Start time2]],R3)</f>
        <v>#DIV/0!</v>
      </c>
      <c r="S4" s="41" t="e">
        <f>IF(AND(Table156[[#This Row],[Rising Through Threshold2]],R3&gt;0),R4-R3,"")</f>
        <v>#DIV/0!</v>
      </c>
      <c r="T4" s="41" t="e">
        <f>IF(Table156[[#This Row],[Voltage2]]&gt;Threshold2,1,0)</f>
        <v>#DIV/0!</v>
      </c>
      <c r="U4" s="41" t="e">
        <f>AND(Table156[[#This Row],[Last2]]&gt;0,Table156[[#This Row],[Last2]]&lt;MAX(Table156[Last2]))</f>
        <v>#DIV/0!</v>
      </c>
      <c r="V4" s="41" t="b">
        <f>OR('Data In'!B10&gt;'Data In'!B9)</f>
        <v>1</v>
      </c>
      <c r="W4" s="41">
        <f>COUNTIF($V$2:V4,"false")</f>
        <v>1</v>
      </c>
      <c r="X4" s="57"/>
      <c r="Y4">
        <f>SUMIF(Table156[include in duty2],TRUE,Table156[Above Threshold2])</f>
        <v>0</v>
      </c>
      <c r="Z4" s="8"/>
      <c r="AM4" s="9"/>
    </row>
    <row r="5" spans="1:39" x14ac:dyDescent="0.45">
      <c r="A5" s="1" t="s">
        <v>23</v>
      </c>
      <c r="B5" s="1">
        <f t="shared" si="2"/>
        <v>6</v>
      </c>
      <c r="C5" s="1">
        <f t="shared" si="3"/>
        <v>10</v>
      </c>
      <c r="D5" s="1">
        <f t="shared" si="3"/>
        <v>15</v>
      </c>
      <c r="E5" s="1" t="e">
        <f t="shared" si="3"/>
        <v>#VALUE!</v>
      </c>
      <c r="F5" s="3">
        <f>IF(Table156[[#This Row],[seq]]&gt;=Table156[[#Totals],[seq]],'Data In'!B11,"")</f>
        <v>78.48</v>
      </c>
      <c r="G5" s="4">
        <f>'Data In'!C11</f>
        <v>1.06</v>
      </c>
      <c r="H5" s="3" t="e">
        <f t="shared" si="4"/>
        <v>#VALUE!</v>
      </c>
      <c r="I5" s="1" t="b">
        <f t="shared" si="0"/>
        <v>0</v>
      </c>
      <c r="J5" s="1">
        <f>IF(Table156[[#This Row],[Rising Through Threshold]],Table156[[#This Row],[Start time]],J4)</f>
        <v>0</v>
      </c>
      <c r="K5" s="1" t="str">
        <f>IF(AND(Table156[[#This Row],[Rising Through Threshold]],J4&gt;0),J5-J4,"")</f>
        <v/>
      </c>
      <c r="L5" s="1">
        <f>IF(Table156[[#This Row],[Voltage]]&gt;Threshold,1,0)</f>
        <v>0</v>
      </c>
      <c r="M5" s="1" t="b">
        <f>AND(Table156[[#This Row],[Last]]&gt;0,Table156[[#This Row],[Last]]&lt;MAX(Table156[Last]))</f>
        <v>0</v>
      </c>
      <c r="N5" s="41" t="str">
        <f>'Data In'!D11</f>
        <v>a</v>
      </c>
      <c r="O5" s="41" t="str">
        <f>'Data In'!E11</f>
        <v>a</v>
      </c>
      <c r="P5" s="41" t="e">
        <f t="shared" si="5"/>
        <v>#VALUE!</v>
      </c>
      <c r="Q5" s="41" t="e">
        <f t="shared" si="1"/>
        <v>#DIV/0!</v>
      </c>
      <c r="R5" s="41" t="e">
        <f>IF(Table156[[#This Row],[Rising Through Threshold2]],Table156[[#This Row],[Start time2]],R4)</f>
        <v>#DIV/0!</v>
      </c>
      <c r="S5" s="41" t="e">
        <f>IF(AND(Table156[[#This Row],[Rising Through Threshold2]],R4&gt;0),R5-R4,"")</f>
        <v>#DIV/0!</v>
      </c>
      <c r="T5" s="41" t="e">
        <f>IF(Table156[[#This Row],[Voltage2]]&gt;Threshold2,1,0)</f>
        <v>#DIV/0!</v>
      </c>
      <c r="U5" s="41" t="e">
        <f>AND(Table156[[#This Row],[Last2]]&gt;0,Table156[[#This Row],[Last2]]&lt;MAX(Table156[Last2]))</f>
        <v>#DIV/0!</v>
      </c>
      <c r="V5" s="41" t="b">
        <f>OR('Data In'!B11&gt;'Data In'!B10)</f>
        <v>1</v>
      </c>
      <c r="W5" s="41">
        <f>COUNTIF($V$2:V5,"false")</f>
        <v>1</v>
      </c>
      <c r="X5" s="57"/>
      <c r="Y5" t="s">
        <v>461</v>
      </c>
      <c r="Z5" s="8"/>
      <c r="AM5" s="9"/>
    </row>
    <row r="6" spans="1:39" x14ac:dyDescent="0.45">
      <c r="A6" s="1" t="s">
        <v>24</v>
      </c>
      <c r="B6" s="1">
        <f t="shared" si="2"/>
        <v>6</v>
      </c>
      <c r="C6" s="1">
        <f t="shared" si="3"/>
        <v>10</v>
      </c>
      <c r="D6" s="1">
        <f t="shared" si="3"/>
        <v>15</v>
      </c>
      <c r="E6" s="1" t="e">
        <f t="shared" si="3"/>
        <v>#VALUE!</v>
      </c>
      <c r="F6" s="3">
        <f>IF(Table156[[#This Row],[seq]]&gt;=Table156[[#Totals],[seq]],'Data In'!B12,"")</f>
        <v>104.64</v>
      </c>
      <c r="G6" s="4">
        <f>'Data In'!C12</f>
        <v>1.31</v>
      </c>
      <c r="H6" s="3" t="e">
        <f t="shared" si="4"/>
        <v>#VALUE!</v>
      </c>
      <c r="I6" s="1" t="b">
        <f t="shared" si="0"/>
        <v>0</v>
      </c>
      <c r="J6" s="1">
        <f>IF(Table156[[#This Row],[Rising Through Threshold]],Table156[[#This Row],[Start time]],J5)</f>
        <v>0</v>
      </c>
      <c r="K6" s="1" t="str">
        <f>IF(AND(Table156[[#This Row],[Rising Through Threshold]],J5&gt;0),J6-J5,"")</f>
        <v/>
      </c>
      <c r="L6" s="1">
        <f>IF(Table156[[#This Row],[Voltage]]&gt;Threshold,1,0)</f>
        <v>0</v>
      </c>
      <c r="M6" s="1" t="b">
        <f>AND(Table156[[#This Row],[Last]]&gt;0,Table156[[#This Row],[Last]]&lt;MAX(Table156[Last]))</f>
        <v>0</v>
      </c>
      <c r="N6" s="41" t="str">
        <f>'Data In'!D12</f>
        <v>a</v>
      </c>
      <c r="O6" s="41" t="str">
        <f>'Data In'!E12</f>
        <v>a</v>
      </c>
      <c r="P6" s="41" t="e">
        <f t="shared" si="5"/>
        <v>#VALUE!</v>
      </c>
      <c r="Q6" s="41" t="e">
        <f t="shared" si="1"/>
        <v>#DIV/0!</v>
      </c>
      <c r="R6" s="41" t="e">
        <f>IF(Table156[[#This Row],[Rising Through Threshold2]],Table156[[#This Row],[Start time2]],R5)</f>
        <v>#DIV/0!</v>
      </c>
      <c r="S6" s="41" t="e">
        <f>IF(AND(Table156[[#This Row],[Rising Through Threshold2]],R5&gt;0),R6-R5,"")</f>
        <v>#DIV/0!</v>
      </c>
      <c r="T6" s="41" t="e">
        <f>IF(Table156[[#This Row],[Voltage2]]&gt;Threshold2,1,0)</f>
        <v>#DIV/0!</v>
      </c>
      <c r="U6" s="41" t="e">
        <f>AND(Table156[[#This Row],[Last2]]&gt;0,Table156[[#This Row],[Last2]]&lt;MAX(Table156[Last2]))</f>
        <v>#DIV/0!</v>
      </c>
      <c r="V6" s="41" t="b">
        <f>OR('Data In'!B12&gt;'Data In'!B11)</f>
        <v>1</v>
      </c>
      <c r="W6" s="41">
        <f>COUNTIF($V$2:V6,"false")</f>
        <v>1</v>
      </c>
      <c r="X6" s="57"/>
      <c r="Y6">
        <f>COUNTIF(Table156[include in duty],TRUE)</f>
        <v>175</v>
      </c>
      <c r="Z6" s="8"/>
      <c r="AM6" s="9"/>
    </row>
    <row r="7" spans="1:39" x14ac:dyDescent="0.45">
      <c r="A7" s="1" t="s">
        <v>25</v>
      </c>
      <c r="B7" s="1">
        <f t="shared" si="2"/>
        <v>6</v>
      </c>
      <c r="C7" s="1">
        <f t="shared" si="3"/>
        <v>10</v>
      </c>
      <c r="D7" s="1">
        <f t="shared" si="3"/>
        <v>15</v>
      </c>
      <c r="E7" s="1" t="e">
        <f t="shared" si="3"/>
        <v>#VALUE!</v>
      </c>
      <c r="F7" s="3">
        <f>IF(Table156[[#This Row],[seq]]&gt;=Table156[[#Totals],[seq]],'Data In'!B13,"")</f>
        <v>130.80000000000001</v>
      </c>
      <c r="G7" s="4">
        <f>'Data In'!C13</f>
        <v>1.59</v>
      </c>
      <c r="H7" s="3" t="e">
        <f t="shared" si="4"/>
        <v>#VALUE!</v>
      </c>
      <c r="I7" s="1" t="b">
        <f t="shared" si="0"/>
        <v>0</v>
      </c>
      <c r="J7" s="1">
        <f>IF(Table156[[#This Row],[Rising Through Threshold]],Table156[[#This Row],[Start time]],J6)</f>
        <v>0</v>
      </c>
      <c r="K7" s="1" t="str">
        <f>IF(AND(Table156[[#This Row],[Rising Through Threshold]],J6&gt;0),J7-J6,"")</f>
        <v/>
      </c>
      <c r="L7" s="1">
        <f>IF(Table156[[#This Row],[Voltage]]&gt;Threshold,1,0)</f>
        <v>0</v>
      </c>
      <c r="M7" s="1" t="b">
        <f>AND(Table156[[#This Row],[Last]]&gt;0,Table156[[#This Row],[Last]]&lt;MAX(Table156[Last]))</f>
        <v>0</v>
      </c>
      <c r="N7" s="41" t="str">
        <f>'Data In'!D13</f>
        <v>a</v>
      </c>
      <c r="O7" s="41" t="str">
        <f>'Data In'!E13</f>
        <v>a</v>
      </c>
      <c r="P7" s="41" t="e">
        <f t="shared" si="5"/>
        <v>#VALUE!</v>
      </c>
      <c r="Q7" s="41" t="e">
        <f t="shared" si="1"/>
        <v>#DIV/0!</v>
      </c>
      <c r="R7" s="41" t="e">
        <f>IF(Table156[[#This Row],[Rising Through Threshold2]],Table156[[#This Row],[Start time2]],R6)</f>
        <v>#DIV/0!</v>
      </c>
      <c r="S7" s="41" t="e">
        <f>IF(AND(Table156[[#This Row],[Rising Through Threshold2]],R6&gt;0),R7-R6,"")</f>
        <v>#DIV/0!</v>
      </c>
      <c r="T7" s="41" t="e">
        <f>IF(Table156[[#This Row],[Voltage2]]&gt;Threshold2,1,0)</f>
        <v>#DIV/0!</v>
      </c>
      <c r="U7" s="41" t="e">
        <f>AND(Table156[[#This Row],[Last2]]&gt;0,Table156[[#This Row],[Last2]]&lt;MAX(Table156[Last2]))</f>
        <v>#DIV/0!</v>
      </c>
      <c r="V7" s="41" t="b">
        <f>OR('Data In'!B13&gt;'Data In'!B12)</f>
        <v>1</v>
      </c>
      <c r="W7" s="41">
        <f>COUNTIF($V$2:V7,"false")</f>
        <v>1</v>
      </c>
      <c r="X7" s="57"/>
      <c r="Y7" t="s">
        <v>462</v>
      </c>
      <c r="Z7" s="8"/>
      <c r="AM7" s="9"/>
    </row>
    <row r="8" spans="1:39" x14ac:dyDescent="0.45">
      <c r="A8" s="1" t="s">
        <v>26</v>
      </c>
      <c r="B8" s="1">
        <f t="shared" si="2"/>
        <v>6</v>
      </c>
      <c r="C8" s="1">
        <f t="shared" si="3"/>
        <v>10</v>
      </c>
      <c r="D8" s="1">
        <f t="shared" si="3"/>
        <v>15</v>
      </c>
      <c r="E8" s="1" t="e">
        <f t="shared" si="3"/>
        <v>#VALUE!</v>
      </c>
      <c r="F8" s="3">
        <f>IF(Table156[[#This Row],[seq]]&gt;=Table156[[#Totals],[seq]],'Data In'!B14,"")</f>
        <v>156.96</v>
      </c>
      <c r="G8" s="4">
        <f>'Data In'!C14</f>
        <v>1.84</v>
      </c>
      <c r="H8" s="3" t="e">
        <f t="shared" si="4"/>
        <v>#VALUE!</v>
      </c>
      <c r="I8" s="1" t="b">
        <f t="shared" si="0"/>
        <v>0</v>
      </c>
      <c r="J8" s="1">
        <f>IF(Table156[[#This Row],[Rising Through Threshold]],Table156[[#This Row],[Start time]],J7)</f>
        <v>0</v>
      </c>
      <c r="K8" s="1" t="str">
        <f>IF(AND(Table156[[#This Row],[Rising Through Threshold]],J7&gt;0),J8-J7,"")</f>
        <v/>
      </c>
      <c r="L8" s="1">
        <f>IF(Table156[[#This Row],[Voltage]]&gt;Threshold,1,0)</f>
        <v>0</v>
      </c>
      <c r="M8" s="1" t="b">
        <f>AND(Table156[[#This Row],[Last]]&gt;0,Table156[[#This Row],[Last]]&lt;MAX(Table156[Last]))</f>
        <v>0</v>
      </c>
      <c r="N8" s="41" t="str">
        <f>'Data In'!D14</f>
        <v>a</v>
      </c>
      <c r="O8" s="41" t="str">
        <f>'Data In'!E14</f>
        <v>a</v>
      </c>
      <c r="P8" s="41" t="e">
        <f t="shared" si="5"/>
        <v>#VALUE!</v>
      </c>
      <c r="Q8" s="41" t="e">
        <f t="shared" si="1"/>
        <v>#DIV/0!</v>
      </c>
      <c r="R8" s="41" t="e">
        <f>IF(Table156[[#This Row],[Rising Through Threshold2]],Table156[[#This Row],[Start time2]],R7)</f>
        <v>#DIV/0!</v>
      </c>
      <c r="S8" s="41" t="e">
        <f>IF(AND(Table156[[#This Row],[Rising Through Threshold2]],R7&gt;0),R8-R7,"")</f>
        <v>#DIV/0!</v>
      </c>
      <c r="T8" s="41" t="e">
        <f>IF(Table156[[#This Row],[Voltage2]]&gt;Threshold2,1,0)</f>
        <v>#DIV/0!</v>
      </c>
      <c r="U8" s="41" t="e">
        <f>AND(Table156[[#This Row],[Last2]]&gt;0,Table156[[#This Row],[Last2]]&lt;MAX(Table156[Last2]))</f>
        <v>#DIV/0!</v>
      </c>
      <c r="V8" s="41" t="b">
        <f>OR('Data In'!B14&gt;'Data In'!B13)</f>
        <v>1</v>
      </c>
      <c r="W8" s="41">
        <f>COUNTIF($V$2:V8,"false")</f>
        <v>1</v>
      </c>
      <c r="X8" s="57"/>
      <c r="Y8">
        <f>SUMIF(Table156[include in duty],TRUE,Table156[Above Theshold])</f>
        <v>96</v>
      </c>
      <c r="Z8" s="8"/>
      <c r="AM8" s="9"/>
    </row>
    <row r="9" spans="1:39" x14ac:dyDescent="0.45">
      <c r="A9" s="1" t="s">
        <v>27</v>
      </c>
      <c r="B9" s="1">
        <f t="shared" si="2"/>
        <v>6</v>
      </c>
      <c r="C9" s="1">
        <f t="shared" si="3"/>
        <v>10</v>
      </c>
      <c r="D9" s="1">
        <f t="shared" si="3"/>
        <v>15</v>
      </c>
      <c r="E9" s="1" t="e">
        <f t="shared" si="3"/>
        <v>#VALUE!</v>
      </c>
      <c r="F9" s="3">
        <f>IF(Table156[[#This Row],[seq]]&gt;=Table156[[#Totals],[seq]],'Data In'!B15,"")</f>
        <v>183.12</v>
      </c>
      <c r="G9" s="4">
        <f>'Data In'!C15</f>
        <v>2.1</v>
      </c>
      <c r="H9" s="3" t="e">
        <f t="shared" si="4"/>
        <v>#VALUE!</v>
      </c>
      <c r="I9" s="1" t="b">
        <f t="shared" si="0"/>
        <v>0</v>
      </c>
      <c r="J9" s="1">
        <f>IF(Table156[[#This Row],[Rising Through Threshold]],Table156[[#This Row],[Start time]],J8)</f>
        <v>0</v>
      </c>
      <c r="K9" s="1" t="str">
        <f>IF(AND(Table156[[#This Row],[Rising Through Threshold]],J8&gt;0),J9-J8,"")</f>
        <v/>
      </c>
      <c r="L9" s="1">
        <f>IF(Table156[[#This Row],[Voltage]]&gt;Threshold,1,0)</f>
        <v>0</v>
      </c>
      <c r="M9" s="1" t="b">
        <f>AND(Table156[[#This Row],[Last]]&gt;0,Table156[[#This Row],[Last]]&lt;MAX(Table156[Last]))</f>
        <v>0</v>
      </c>
      <c r="N9" s="41" t="str">
        <f>'Data In'!D15</f>
        <v>a</v>
      </c>
      <c r="O9" s="41" t="str">
        <f>'Data In'!E15</f>
        <v>a</v>
      </c>
      <c r="P9" s="41" t="e">
        <f t="shared" si="5"/>
        <v>#VALUE!</v>
      </c>
      <c r="Q9" s="41" t="e">
        <f t="shared" si="1"/>
        <v>#DIV/0!</v>
      </c>
      <c r="R9" s="41" t="e">
        <f>IF(Table156[[#This Row],[Rising Through Threshold2]],Table156[[#This Row],[Start time2]],R8)</f>
        <v>#DIV/0!</v>
      </c>
      <c r="S9" s="41" t="e">
        <f>IF(AND(Table156[[#This Row],[Rising Through Threshold2]],R8&gt;0),R9-R8,"")</f>
        <v>#DIV/0!</v>
      </c>
      <c r="T9" s="41" t="e">
        <f>IF(Table156[[#This Row],[Voltage2]]&gt;Threshold2,1,0)</f>
        <v>#DIV/0!</v>
      </c>
      <c r="U9" s="41" t="e">
        <f>AND(Table156[[#This Row],[Last2]]&gt;0,Table156[[#This Row],[Last2]]&lt;MAX(Table156[Last2]))</f>
        <v>#DIV/0!</v>
      </c>
      <c r="V9" s="41" t="b">
        <f>OR('Data In'!B15&gt;'Data In'!B14)</f>
        <v>1</v>
      </c>
      <c r="W9" s="41">
        <f>COUNTIF($V$2:V9,"false")</f>
        <v>1</v>
      </c>
      <c r="X9" s="57"/>
      <c r="Z9" s="8"/>
      <c r="AM9" s="9"/>
    </row>
    <row r="10" spans="1:39" x14ac:dyDescent="0.45">
      <c r="A10" s="1" t="s">
        <v>28</v>
      </c>
      <c r="B10" s="1">
        <f t="shared" si="2"/>
        <v>6</v>
      </c>
      <c r="C10" s="1">
        <f t="shared" si="3"/>
        <v>11</v>
      </c>
      <c r="D10" s="1">
        <f t="shared" si="3"/>
        <v>16</v>
      </c>
      <c r="E10" s="1" t="e">
        <f t="shared" si="3"/>
        <v>#VALUE!</v>
      </c>
      <c r="F10" s="3">
        <f>IF(Table156[[#This Row],[seq]]&gt;=Table156[[#Totals],[seq]],'Data In'!B16,"")</f>
        <v>209.28</v>
      </c>
      <c r="G10" s="4">
        <f>'Data In'!C16</f>
        <v>2.31</v>
      </c>
      <c r="H10" s="3" t="e">
        <f t="shared" si="4"/>
        <v>#VALUE!</v>
      </c>
      <c r="I10" s="1" t="b">
        <f t="shared" si="0"/>
        <v>0</v>
      </c>
      <c r="J10" s="1">
        <f>IF(Table156[[#This Row],[Rising Through Threshold]],Table156[[#This Row],[Start time]],J9)</f>
        <v>0</v>
      </c>
      <c r="K10" s="1" t="str">
        <f>IF(AND(Table156[[#This Row],[Rising Through Threshold]],J9&gt;0),J10-J9,"")</f>
        <v/>
      </c>
      <c r="L10" s="1">
        <f>IF(Table156[[#This Row],[Voltage]]&gt;Threshold,1,0)</f>
        <v>0</v>
      </c>
      <c r="M10" s="1" t="b">
        <f>AND(Table156[[#This Row],[Last]]&gt;0,Table156[[#This Row],[Last]]&lt;MAX(Table156[Last]))</f>
        <v>0</v>
      </c>
      <c r="N10" s="41" t="str">
        <f>'Data In'!D16</f>
        <v>a</v>
      </c>
      <c r="O10" s="41" t="str">
        <f>'Data In'!E16</f>
        <v>a</v>
      </c>
      <c r="P10" s="41" t="e">
        <f t="shared" si="5"/>
        <v>#VALUE!</v>
      </c>
      <c r="Q10" s="41" t="e">
        <f t="shared" si="1"/>
        <v>#DIV/0!</v>
      </c>
      <c r="R10" s="41" t="e">
        <f>IF(Table156[[#This Row],[Rising Through Threshold2]],Table156[[#This Row],[Start time2]],R9)</f>
        <v>#DIV/0!</v>
      </c>
      <c r="S10" s="41" t="e">
        <f>IF(AND(Table156[[#This Row],[Rising Through Threshold2]],R9&gt;0),R10-R9,"")</f>
        <v>#DIV/0!</v>
      </c>
      <c r="T10" s="41" t="e">
        <f>IF(Table156[[#This Row],[Voltage2]]&gt;Threshold2,1,0)</f>
        <v>#DIV/0!</v>
      </c>
      <c r="U10" s="41" t="e">
        <f>AND(Table156[[#This Row],[Last2]]&gt;0,Table156[[#This Row],[Last2]]&lt;MAX(Table156[Last2]))</f>
        <v>#DIV/0!</v>
      </c>
      <c r="V10" s="41" t="b">
        <f>OR('Data In'!B16&gt;'Data In'!B15)</f>
        <v>1</v>
      </c>
      <c r="W10" s="41">
        <f>COUNTIF($V$2:V10,"false")</f>
        <v>1</v>
      </c>
      <c r="X10" s="57"/>
      <c r="Z10" s="8"/>
      <c r="AM10" s="9"/>
    </row>
    <row r="11" spans="1:39" x14ac:dyDescent="0.45">
      <c r="A11" s="1" t="s">
        <v>29</v>
      </c>
      <c r="B11" s="1">
        <f t="shared" si="2"/>
        <v>6</v>
      </c>
      <c r="C11" s="1">
        <f t="shared" si="3"/>
        <v>11</v>
      </c>
      <c r="D11" s="1">
        <f t="shared" si="3"/>
        <v>16</v>
      </c>
      <c r="E11" s="1" t="e">
        <f t="shared" si="3"/>
        <v>#VALUE!</v>
      </c>
      <c r="F11" s="3">
        <f>IF(Table156[[#This Row],[seq]]&gt;=Table156[[#Totals],[seq]],'Data In'!B17,"")</f>
        <v>235.44</v>
      </c>
      <c r="G11" s="4">
        <f>'Data In'!C17</f>
        <v>2.5299999999999998</v>
      </c>
      <c r="H11" s="3" t="e">
        <f t="shared" si="4"/>
        <v>#VALUE!</v>
      </c>
      <c r="I11" s="1" t="b">
        <f t="shared" si="0"/>
        <v>1</v>
      </c>
      <c r="J11" s="1">
        <f>IF(Table156[[#This Row],[Rising Through Threshold]],Table156[[#This Row],[Start time]],J10)</f>
        <v>235.44</v>
      </c>
      <c r="K11" s="1" t="str">
        <f>IF(AND(Table156[[#This Row],[Rising Through Threshold]],J10&gt;0),J11-J10,"")</f>
        <v/>
      </c>
      <c r="L11" s="1">
        <f>IF(Table156[[#This Row],[Voltage]]&gt;Threshold,1,0)</f>
        <v>1</v>
      </c>
      <c r="M11" s="1" t="b">
        <f>AND(Table156[[#This Row],[Last]]&gt;0,Table156[[#This Row],[Last]]&lt;MAX(Table156[Last]))</f>
        <v>1</v>
      </c>
      <c r="N11" s="41" t="str">
        <f>'Data In'!D17</f>
        <v>a</v>
      </c>
      <c r="O11" s="41" t="str">
        <f>'Data In'!E17</f>
        <v>a</v>
      </c>
      <c r="P11" s="41" t="e">
        <f t="shared" si="5"/>
        <v>#VALUE!</v>
      </c>
      <c r="Q11" s="41" t="e">
        <f t="shared" si="1"/>
        <v>#DIV/0!</v>
      </c>
      <c r="R11" s="41" t="e">
        <f>IF(Table156[[#This Row],[Rising Through Threshold2]],Table156[[#This Row],[Start time2]],R10)</f>
        <v>#DIV/0!</v>
      </c>
      <c r="S11" s="41" t="e">
        <f>IF(AND(Table156[[#This Row],[Rising Through Threshold2]],R10&gt;0),R11-R10,"")</f>
        <v>#DIV/0!</v>
      </c>
      <c r="T11" s="41" t="e">
        <f>IF(Table156[[#This Row],[Voltage2]]&gt;Threshold2,1,0)</f>
        <v>#DIV/0!</v>
      </c>
      <c r="U11" s="41" t="e">
        <f>AND(Table156[[#This Row],[Last2]]&gt;0,Table156[[#This Row],[Last2]]&lt;MAX(Table156[Last2]))</f>
        <v>#DIV/0!</v>
      </c>
      <c r="V11" s="41" t="b">
        <f>OR('Data In'!B17&gt;'Data In'!B16)</f>
        <v>1</v>
      </c>
      <c r="W11" s="41">
        <f>COUNTIF($V$2:V11,"false")</f>
        <v>1</v>
      </c>
      <c r="X11" s="57"/>
      <c r="Z11" s="8"/>
      <c r="AM11" s="9"/>
    </row>
    <row r="12" spans="1:39" x14ac:dyDescent="0.45">
      <c r="A12" s="1" t="s">
        <v>30</v>
      </c>
      <c r="B12" s="1">
        <f t="shared" si="2"/>
        <v>6</v>
      </c>
      <c r="C12" s="1">
        <f t="shared" si="3"/>
        <v>11</v>
      </c>
      <c r="D12" s="1">
        <f t="shared" si="3"/>
        <v>16</v>
      </c>
      <c r="E12" s="1" t="e">
        <f t="shared" si="3"/>
        <v>#VALUE!</v>
      </c>
      <c r="F12" s="3">
        <f>IF(Table156[[#This Row],[seq]]&gt;=Table156[[#Totals],[seq]],'Data In'!B18,"")</f>
        <v>261.60000000000002</v>
      </c>
      <c r="G12" s="4">
        <f>'Data In'!C18</f>
        <v>2.71</v>
      </c>
      <c r="H12" s="3" t="e">
        <f t="shared" si="4"/>
        <v>#VALUE!</v>
      </c>
      <c r="I12" s="1" t="b">
        <f t="shared" si="0"/>
        <v>0</v>
      </c>
      <c r="J12" s="1">
        <f>IF(Table156[[#This Row],[Rising Through Threshold]],Table156[[#This Row],[Start time]],J11)</f>
        <v>235.44</v>
      </c>
      <c r="K12" s="1" t="str">
        <f>IF(AND(Table156[[#This Row],[Rising Through Threshold]],J11&gt;0),J12-J11,"")</f>
        <v/>
      </c>
      <c r="L12" s="1">
        <f>IF(Table156[[#This Row],[Voltage]]&gt;Threshold,1,0)</f>
        <v>1</v>
      </c>
      <c r="M12" s="1" t="b">
        <f>AND(Table156[[#This Row],[Last]]&gt;0,Table156[[#This Row],[Last]]&lt;MAX(Table156[Last]))</f>
        <v>1</v>
      </c>
      <c r="N12" s="41" t="str">
        <f>'Data In'!D18</f>
        <v>a</v>
      </c>
      <c r="O12" s="41" t="str">
        <f>'Data In'!E18</f>
        <v>a</v>
      </c>
      <c r="P12" s="41" t="e">
        <f t="shared" si="5"/>
        <v>#VALUE!</v>
      </c>
      <c r="Q12" s="41" t="e">
        <f t="shared" si="1"/>
        <v>#DIV/0!</v>
      </c>
      <c r="R12" s="41" t="e">
        <f>IF(Table156[[#This Row],[Rising Through Threshold2]],Table156[[#This Row],[Start time2]],R11)</f>
        <v>#DIV/0!</v>
      </c>
      <c r="S12" s="41" t="e">
        <f>IF(AND(Table156[[#This Row],[Rising Through Threshold2]],R11&gt;0),R12-R11,"")</f>
        <v>#DIV/0!</v>
      </c>
      <c r="T12" s="41" t="e">
        <f>IF(Table156[[#This Row],[Voltage2]]&gt;Threshold2,1,0)</f>
        <v>#DIV/0!</v>
      </c>
      <c r="U12" s="41" t="e">
        <f>AND(Table156[[#This Row],[Last2]]&gt;0,Table156[[#This Row],[Last2]]&lt;MAX(Table156[Last2]))</f>
        <v>#DIV/0!</v>
      </c>
      <c r="V12" s="41" t="b">
        <f>OR('Data In'!B18&gt;'Data In'!B17)</f>
        <v>1</v>
      </c>
      <c r="W12" s="41">
        <f>COUNTIF($V$2:V12,"false")</f>
        <v>1</v>
      </c>
      <c r="X12" s="57"/>
      <c r="Z12" s="8"/>
      <c r="AM12" s="9"/>
    </row>
    <row r="13" spans="1:39" x14ac:dyDescent="0.45">
      <c r="A13" s="1" t="s">
        <v>31</v>
      </c>
      <c r="B13" s="1">
        <f t="shared" si="2"/>
        <v>6</v>
      </c>
      <c r="C13" s="1">
        <f t="shared" si="3"/>
        <v>11</v>
      </c>
      <c r="D13" s="1">
        <f t="shared" si="3"/>
        <v>16</v>
      </c>
      <c r="E13" s="1" t="e">
        <f t="shared" si="3"/>
        <v>#VALUE!</v>
      </c>
      <c r="F13" s="3">
        <f>IF(Table156[[#This Row],[seq]]&gt;=Table156[[#Totals],[seq]],'Data In'!B19,"")</f>
        <v>287.76</v>
      </c>
      <c r="G13" s="4">
        <f>'Data In'!C19</f>
        <v>2.88</v>
      </c>
      <c r="H13" s="3" t="e">
        <f t="shared" si="4"/>
        <v>#VALUE!</v>
      </c>
      <c r="I13" s="1" t="b">
        <f t="shared" si="0"/>
        <v>0</v>
      </c>
      <c r="J13" s="1">
        <f>IF(Table156[[#This Row],[Rising Through Threshold]],Table156[[#This Row],[Start time]],J12)</f>
        <v>235.44</v>
      </c>
      <c r="K13" s="1" t="str">
        <f>IF(AND(Table156[[#This Row],[Rising Through Threshold]],J12&gt;0),J13-J12,"")</f>
        <v/>
      </c>
      <c r="L13" s="1">
        <f>IF(Table156[[#This Row],[Voltage]]&gt;Threshold,1,0)</f>
        <v>1</v>
      </c>
      <c r="M13" s="1" t="b">
        <f>AND(Table156[[#This Row],[Last]]&gt;0,Table156[[#This Row],[Last]]&lt;MAX(Table156[Last]))</f>
        <v>1</v>
      </c>
      <c r="N13" s="41" t="str">
        <f>'Data In'!D19</f>
        <v>a</v>
      </c>
      <c r="O13" s="41" t="str">
        <f>'Data In'!E19</f>
        <v>a</v>
      </c>
      <c r="P13" s="41" t="e">
        <f t="shared" si="5"/>
        <v>#VALUE!</v>
      </c>
      <c r="Q13" s="41" t="e">
        <f t="shared" si="1"/>
        <v>#DIV/0!</v>
      </c>
      <c r="R13" s="41" t="e">
        <f>IF(Table156[[#This Row],[Rising Through Threshold2]],Table156[[#This Row],[Start time2]],R12)</f>
        <v>#DIV/0!</v>
      </c>
      <c r="S13" s="41" t="e">
        <f>IF(AND(Table156[[#This Row],[Rising Through Threshold2]],R12&gt;0),R13-R12,"")</f>
        <v>#DIV/0!</v>
      </c>
      <c r="T13" s="41" t="e">
        <f>IF(Table156[[#This Row],[Voltage2]]&gt;Threshold2,1,0)</f>
        <v>#DIV/0!</v>
      </c>
      <c r="U13" s="41" t="e">
        <f>AND(Table156[[#This Row],[Last2]]&gt;0,Table156[[#This Row],[Last2]]&lt;MAX(Table156[Last2]))</f>
        <v>#DIV/0!</v>
      </c>
      <c r="V13" s="41" t="b">
        <f>OR('Data In'!B19&gt;'Data In'!B18)</f>
        <v>1</v>
      </c>
      <c r="W13" s="41">
        <f>COUNTIF($V$2:V13,"false")</f>
        <v>1</v>
      </c>
      <c r="X13" s="57"/>
      <c r="Z13" s="8"/>
      <c r="AM13" s="9"/>
    </row>
    <row r="14" spans="1:39" x14ac:dyDescent="0.45">
      <c r="A14" s="1" t="s">
        <v>32</v>
      </c>
      <c r="B14" s="1">
        <f t="shared" si="2"/>
        <v>6</v>
      </c>
      <c r="C14" s="1">
        <f t="shared" si="3"/>
        <v>11</v>
      </c>
      <c r="D14" s="1">
        <f t="shared" si="3"/>
        <v>16</v>
      </c>
      <c r="E14" s="1" t="e">
        <f t="shared" si="3"/>
        <v>#VALUE!</v>
      </c>
      <c r="F14" s="3">
        <f>IF(Table156[[#This Row],[seq]]&gt;=Table156[[#Totals],[seq]],'Data In'!B20,"")</f>
        <v>313.92</v>
      </c>
      <c r="G14" s="4">
        <f>'Data In'!C20</f>
        <v>3.04</v>
      </c>
      <c r="H14" s="3" t="e">
        <f t="shared" si="4"/>
        <v>#VALUE!</v>
      </c>
      <c r="I14" s="1" t="b">
        <f t="shared" si="0"/>
        <v>0</v>
      </c>
      <c r="J14" s="1">
        <f>IF(Table156[[#This Row],[Rising Through Threshold]],Table156[[#This Row],[Start time]],J13)</f>
        <v>235.44</v>
      </c>
      <c r="K14" s="1" t="str">
        <f>IF(AND(Table156[[#This Row],[Rising Through Threshold]],J13&gt;0),J14-J13,"")</f>
        <v/>
      </c>
      <c r="L14" s="1">
        <f>IF(Table156[[#This Row],[Voltage]]&gt;Threshold,1,0)</f>
        <v>1</v>
      </c>
      <c r="M14" s="1" t="b">
        <f>AND(Table156[[#This Row],[Last]]&gt;0,Table156[[#This Row],[Last]]&lt;MAX(Table156[Last]))</f>
        <v>1</v>
      </c>
      <c r="N14" s="41" t="str">
        <f>'Data In'!D20</f>
        <v>a</v>
      </c>
      <c r="O14" s="41" t="str">
        <f>'Data In'!E20</f>
        <v>a</v>
      </c>
      <c r="P14" s="41" t="e">
        <f t="shared" si="5"/>
        <v>#VALUE!</v>
      </c>
      <c r="Q14" s="41" t="e">
        <f t="shared" si="1"/>
        <v>#DIV/0!</v>
      </c>
      <c r="R14" s="41" t="e">
        <f>IF(Table156[[#This Row],[Rising Through Threshold2]],Table156[[#This Row],[Start time2]],R13)</f>
        <v>#DIV/0!</v>
      </c>
      <c r="S14" s="41" t="e">
        <f>IF(AND(Table156[[#This Row],[Rising Through Threshold2]],R13&gt;0),R14-R13,"")</f>
        <v>#DIV/0!</v>
      </c>
      <c r="T14" s="41" t="e">
        <f>IF(Table156[[#This Row],[Voltage2]]&gt;Threshold2,1,0)</f>
        <v>#DIV/0!</v>
      </c>
      <c r="U14" s="41" t="e">
        <f>AND(Table156[[#This Row],[Last2]]&gt;0,Table156[[#This Row],[Last2]]&lt;MAX(Table156[Last2]))</f>
        <v>#DIV/0!</v>
      </c>
      <c r="V14" s="41" t="b">
        <f>OR('Data In'!B20&gt;'Data In'!B19)</f>
        <v>1</v>
      </c>
      <c r="W14" s="41">
        <f>COUNTIF($V$2:V14,"false")</f>
        <v>1</v>
      </c>
      <c r="X14" s="57"/>
      <c r="Z14" s="8"/>
      <c r="AM14" s="9"/>
    </row>
    <row r="15" spans="1:39" x14ac:dyDescent="0.45">
      <c r="A15" s="1" t="s">
        <v>33</v>
      </c>
      <c r="B15" s="1">
        <f t="shared" si="2"/>
        <v>6</v>
      </c>
      <c r="C15" s="1">
        <f t="shared" si="3"/>
        <v>11</v>
      </c>
      <c r="D15" s="1">
        <f t="shared" si="3"/>
        <v>16</v>
      </c>
      <c r="E15" s="1" t="e">
        <f t="shared" si="3"/>
        <v>#VALUE!</v>
      </c>
      <c r="F15" s="3">
        <f>IF(Table156[[#This Row],[seq]]&gt;=Table156[[#Totals],[seq]],'Data In'!B21,"")</f>
        <v>340.8</v>
      </c>
      <c r="G15" s="4">
        <f>'Data In'!C21</f>
        <v>3.2</v>
      </c>
      <c r="H15" s="3" t="e">
        <f t="shared" si="4"/>
        <v>#VALUE!</v>
      </c>
      <c r="I15" s="1" t="b">
        <f t="shared" si="0"/>
        <v>0</v>
      </c>
      <c r="J15" s="1">
        <f>IF(Table156[[#This Row],[Rising Through Threshold]],Table156[[#This Row],[Start time]],J14)</f>
        <v>235.44</v>
      </c>
      <c r="K15" s="1" t="str">
        <f>IF(AND(Table156[[#This Row],[Rising Through Threshold]],J14&gt;0),J15-J14,"")</f>
        <v/>
      </c>
      <c r="L15" s="1">
        <f>IF(Table156[[#This Row],[Voltage]]&gt;Threshold,1,0)</f>
        <v>1</v>
      </c>
      <c r="M15" s="1" t="b">
        <f>AND(Table156[[#This Row],[Last]]&gt;0,Table156[[#This Row],[Last]]&lt;MAX(Table156[Last]))</f>
        <v>1</v>
      </c>
      <c r="N15" s="41" t="str">
        <f>'Data In'!D21</f>
        <v>a</v>
      </c>
      <c r="O15" s="41" t="str">
        <f>'Data In'!E21</f>
        <v>a</v>
      </c>
      <c r="P15" s="41" t="e">
        <f t="shared" si="5"/>
        <v>#VALUE!</v>
      </c>
      <c r="Q15" s="41" t="e">
        <f t="shared" si="1"/>
        <v>#DIV/0!</v>
      </c>
      <c r="R15" s="41" t="e">
        <f>IF(Table156[[#This Row],[Rising Through Threshold2]],Table156[[#This Row],[Start time2]],R14)</f>
        <v>#DIV/0!</v>
      </c>
      <c r="S15" s="41" t="e">
        <f>IF(AND(Table156[[#This Row],[Rising Through Threshold2]],R14&gt;0),R15-R14,"")</f>
        <v>#DIV/0!</v>
      </c>
      <c r="T15" s="41" t="e">
        <f>IF(Table156[[#This Row],[Voltage2]]&gt;Threshold2,1,0)</f>
        <v>#DIV/0!</v>
      </c>
      <c r="U15" s="41" t="e">
        <f>AND(Table156[[#This Row],[Last2]]&gt;0,Table156[[#This Row],[Last2]]&lt;MAX(Table156[Last2]))</f>
        <v>#DIV/0!</v>
      </c>
      <c r="V15" s="41" t="b">
        <f>OR('Data In'!B21&gt;'Data In'!B20)</f>
        <v>1</v>
      </c>
      <c r="W15" s="41">
        <f>COUNTIF($V$2:V15,"false")</f>
        <v>1</v>
      </c>
      <c r="X15" s="57"/>
      <c r="Z15" s="8"/>
      <c r="AM15" s="9"/>
    </row>
    <row r="16" spans="1:39" x14ac:dyDescent="0.45">
      <c r="A16" s="1" t="s">
        <v>34</v>
      </c>
      <c r="B16" s="1">
        <f t="shared" si="2"/>
        <v>6</v>
      </c>
      <c r="C16" s="1">
        <f t="shared" si="3"/>
        <v>11</v>
      </c>
      <c r="D16" s="1">
        <f t="shared" si="3"/>
        <v>16</v>
      </c>
      <c r="E16" s="1" t="e">
        <f t="shared" si="3"/>
        <v>#VALUE!</v>
      </c>
      <c r="F16" s="3">
        <f>IF(Table156[[#This Row],[seq]]&gt;=Table156[[#Totals],[seq]],'Data In'!B22,"")</f>
        <v>366.24</v>
      </c>
      <c r="G16" s="4">
        <f>'Data In'!C22</f>
        <v>3.31</v>
      </c>
      <c r="H16" s="3" t="e">
        <f t="shared" si="4"/>
        <v>#VALUE!</v>
      </c>
      <c r="I16" s="1" t="b">
        <f t="shared" si="0"/>
        <v>0</v>
      </c>
      <c r="J16" s="1">
        <f>IF(Table156[[#This Row],[Rising Through Threshold]],Table156[[#This Row],[Start time]],J15)</f>
        <v>235.44</v>
      </c>
      <c r="K16" s="1" t="str">
        <f>IF(AND(Table156[[#This Row],[Rising Through Threshold]],J15&gt;0),J16-J15,"")</f>
        <v/>
      </c>
      <c r="L16" s="1">
        <f>IF(Table156[[#This Row],[Voltage]]&gt;Threshold,1,0)</f>
        <v>1</v>
      </c>
      <c r="M16" s="1" t="b">
        <f>AND(Table156[[#This Row],[Last]]&gt;0,Table156[[#This Row],[Last]]&lt;MAX(Table156[Last]))</f>
        <v>1</v>
      </c>
      <c r="N16" s="41" t="str">
        <f>'Data In'!D22</f>
        <v>a</v>
      </c>
      <c r="O16" s="41" t="str">
        <f>'Data In'!E22</f>
        <v>a</v>
      </c>
      <c r="P16" s="41" t="e">
        <f t="shared" si="5"/>
        <v>#VALUE!</v>
      </c>
      <c r="Q16" s="41" t="e">
        <f t="shared" si="1"/>
        <v>#DIV/0!</v>
      </c>
      <c r="R16" s="41" t="e">
        <f>IF(Table156[[#This Row],[Rising Through Threshold2]],Table156[[#This Row],[Start time2]],R15)</f>
        <v>#DIV/0!</v>
      </c>
      <c r="S16" s="41" t="e">
        <f>IF(AND(Table156[[#This Row],[Rising Through Threshold2]],R15&gt;0),R16-R15,"")</f>
        <v>#DIV/0!</v>
      </c>
      <c r="T16" s="41" t="e">
        <f>IF(Table156[[#This Row],[Voltage2]]&gt;Threshold2,1,0)</f>
        <v>#DIV/0!</v>
      </c>
      <c r="U16" s="41" t="e">
        <f>AND(Table156[[#This Row],[Last2]]&gt;0,Table156[[#This Row],[Last2]]&lt;MAX(Table156[Last2]))</f>
        <v>#DIV/0!</v>
      </c>
      <c r="V16" s="41" t="b">
        <f>OR('Data In'!B22&gt;'Data In'!B21)</f>
        <v>1</v>
      </c>
      <c r="W16" s="41">
        <f>COUNTIF($V$2:V16,"false")</f>
        <v>1</v>
      </c>
      <c r="X16" s="57"/>
      <c r="Z16" s="8"/>
      <c r="AM16" s="9"/>
    </row>
    <row r="17" spans="1:39" x14ac:dyDescent="0.45">
      <c r="A17" s="1" t="s">
        <v>35</v>
      </c>
      <c r="B17" s="1">
        <f t="shared" si="2"/>
        <v>6</v>
      </c>
      <c r="C17" s="1">
        <f t="shared" si="3"/>
        <v>11</v>
      </c>
      <c r="D17" s="1">
        <f t="shared" si="3"/>
        <v>16</v>
      </c>
      <c r="E17" s="1" t="e">
        <f t="shared" si="3"/>
        <v>#VALUE!</v>
      </c>
      <c r="F17" s="3">
        <f>IF(Table156[[#This Row],[seq]]&gt;=Table156[[#Totals],[seq]],'Data In'!B23,"")</f>
        <v>392.4</v>
      </c>
      <c r="G17" s="4">
        <f>'Data In'!C23</f>
        <v>3.43</v>
      </c>
      <c r="H17" s="3" t="e">
        <f t="shared" si="4"/>
        <v>#VALUE!</v>
      </c>
      <c r="I17" s="1" t="b">
        <f t="shared" si="0"/>
        <v>0</v>
      </c>
      <c r="J17" s="1">
        <f>IF(Table156[[#This Row],[Rising Through Threshold]],Table156[[#This Row],[Start time]],J16)</f>
        <v>235.44</v>
      </c>
      <c r="K17" s="1" t="str">
        <f>IF(AND(Table156[[#This Row],[Rising Through Threshold]],J16&gt;0),J17-J16,"")</f>
        <v/>
      </c>
      <c r="L17" s="1">
        <f>IF(Table156[[#This Row],[Voltage]]&gt;Threshold,1,0)</f>
        <v>1</v>
      </c>
      <c r="M17" s="1" t="b">
        <f>AND(Table156[[#This Row],[Last]]&gt;0,Table156[[#This Row],[Last]]&lt;MAX(Table156[Last]))</f>
        <v>1</v>
      </c>
      <c r="N17" s="41" t="str">
        <f>'Data In'!D23</f>
        <v>a</v>
      </c>
      <c r="O17" s="41" t="str">
        <f>'Data In'!E23</f>
        <v>a</v>
      </c>
      <c r="P17" s="41" t="e">
        <f t="shared" si="5"/>
        <v>#VALUE!</v>
      </c>
      <c r="Q17" s="41" t="e">
        <f t="shared" si="1"/>
        <v>#DIV/0!</v>
      </c>
      <c r="R17" s="41" t="e">
        <f>IF(Table156[[#This Row],[Rising Through Threshold2]],Table156[[#This Row],[Start time2]],R16)</f>
        <v>#DIV/0!</v>
      </c>
      <c r="S17" s="41" t="e">
        <f>IF(AND(Table156[[#This Row],[Rising Through Threshold2]],R16&gt;0),R17-R16,"")</f>
        <v>#DIV/0!</v>
      </c>
      <c r="T17" s="41" t="e">
        <f>IF(Table156[[#This Row],[Voltage2]]&gt;Threshold2,1,0)</f>
        <v>#DIV/0!</v>
      </c>
      <c r="U17" s="41" t="e">
        <f>AND(Table156[[#This Row],[Last2]]&gt;0,Table156[[#This Row],[Last2]]&lt;MAX(Table156[Last2]))</f>
        <v>#DIV/0!</v>
      </c>
      <c r="V17" s="41" t="b">
        <f>OR('Data In'!B23&gt;'Data In'!B22)</f>
        <v>1</v>
      </c>
      <c r="W17" s="41">
        <f>COUNTIF($V$2:V17,"false")</f>
        <v>1</v>
      </c>
      <c r="X17" s="57"/>
      <c r="Z17" s="8"/>
      <c r="AM17" s="9"/>
    </row>
    <row r="18" spans="1:39" x14ac:dyDescent="0.45">
      <c r="A18" s="1" t="s">
        <v>36</v>
      </c>
      <c r="B18" s="1">
        <f t="shared" si="2"/>
        <v>6</v>
      </c>
      <c r="C18" s="1">
        <f t="shared" si="3"/>
        <v>11</v>
      </c>
      <c r="D18" s="1">
        <f t="shared" si="3"/>
        <v>16</v>
      </c>
      <c r="E18" s="1" t="e">
        <f t="shared" si="3"/>
        <v>#VALUE!</v>
      </c>
      <c r="F18" s="3">
        <f>IF(Table156[[#This Row],[seq]]&gt;=Table156[[#Totals],[seq]],'Data In'!B24,"")</f>
        <v>418.56</v>
      </c>
      <c r="G18" s="4">
        <f>'Data In'!C24</f>
        <v>3.53</v>
      </c>
      <c r="H18" s="3" t="e">
        <f t="shared" si="4"/>
        <v>#VALUE!</v>
      </c>
      <c r="I18" s="1" t="b">
        <f t="shared" si="0"/>
        <v>0</v>
      </c>
      <c r="J18" s="1">
        <f>IF(Table156[[#This Row],[Rising Through Threshold]],Table156[[#This Row],[Start time]],J17)</f>
        <v>235.44</v>
      </c>
      <c r="K18" s="1" t="str">
        <f>IF(AND(Table156[[#This Row],[Rising Through Threshold]],J17&gt;0),J18-J17,"")</f>
        <v/>
      </c>
      <c r="L18" s="1">
        <f>IF(Table156[[#This Row],[Voltage]]&gt;Threshold,1,0)</f>
        <v>1</v>
      </c>
      <c r="M18" s="1" t="b">
        <f>AND(Table156[[#This Row],[Last]]&gt;0,Table156[[#This Row],[Last]]&lt;MAX(Table156[Last]))</f>
        <v>1</v>
      </c>
      <c r="N18" s="41" t="str">
        <f>'Data In'!D24</f>
        <v>a</v>
      </c>
      <c r="O18" s="41" t="str">
        <f>'Data In'!E24</f>
        <v>a</v>
      </c>
      <c r="P18" s="41" t="e">
        <f t="shared" si="5"/>
        <v>#VALUE!</v>
      </c>
      <c r="Q18" s="41" t="e">
        <f t="shared" si="1"/>
        <v>#DIV/0!</v>
      </c>
      <c r="R18" s="41" t="e">
        <f>IF(Table156[[#This Row],[Rising Through Threshold2]],Table156[[#This Row],[Start time2]],R17)</f>
        <v>#DIV/0!</v>
      </c>
      <c r="S18" s="41" t="e">
        <f>IF(AND(Table156[[#This Row],[Rising Through Threshold2]],R17&gt;0),R18-R17,"")</f>
        <v>#DIV/0!</v>
      </c>
      <c r="T18" s="41" t="e">
        <f>IF(Table156[[#This Row],[Voltage2]]&gt;Threshold2,1,0)</f>
        <v>#DIV/0!</v>
      </c>
      <c r="U18" s="41" t="e">
        <f>AND(Table156[[#This Row],[Last2]]&gt;0,Table156[[#This Row],[Last2]]&lt;MAX(Table156[Last2]))</f>
        <v>#DIV/0!</v>
      </c>
      <c r="V18" s="41" t="b">
        <f>OR('Data In'!B24&gt;'Data In'!B23)</f>
        <v>1</v>
      </c>
      <c r="W18" s="41">
        <f>COUNTIF($V$2:V18,"false")</f>
        <v>1</v>
      </c>
      <c r="X18" s="57"/>
      <c r="Z18" s="8"/>
      <c r="AM18" s="9"/>
    </row>
    <row r="19" spans="1:39" x14ac:dyDescent="0.45">
      <c r="A19" s="1" t="s">
        <v>37</v>
      </c>
      <c r="B19" s="1">
        <f t="shared" si="2"/>
        <v>6</v>
      </c>
      <c r="C19" s="1">
        <f t="shared" si="3"/>
        <v>11</v>
      </c>
      <c r="D19" s="1">
        <f t="shared" si="3"/>
        <v>16</v>
      </c>
      <c r="E19" s="1" t="e">
        <f t="shared" si="3"/>
        <v>#VALUE!</v>
      </c>
      <c r="F19" s="3">
        <f>IF(Table156[[#This Row],[seq]]&gt;=Table156[[#Totals],[seq]],'Data In'!B25,"")</f>
        <v>444.72</v>
      </c>
      <c r="G19" s="4">
        <f>'Data In'!C25</f>
        <v>3.63</v>
      </c>
      <c r="H19" s="3" t="e">
        <f t="shared" si="4"/>
        <v>#VALUE!</v>
      </c>
      <c r="I19" s="1" t="b">
        <f t="shared" si="0"/>
        <v>0</v>
      </c>
      <c r="J19" s="1">
        <f>IF(Table156[[#This Row],[Rising Through Threshold]],Table156[[#This Row],[Start time]],J18)</f>
        <v>235.44</v>
      </c>
      <c r="K19" s="1" t="str">
        <f>IF(AND(Table156[[#This Row],[Rising Through Threshold]],J18&gt;0),J19-J18,"")</f>
        <v/>
      </c>
      <c r="L19" s="1">
        <f>IF(Table156[[#This Row],[Voltage]]&gt;Threshold,1,0)</f>
        <v>1</v>
      </c>
      <c r="M19" s="1" t="b">
        <f>AND(Table156[[#This Row],[Last]]&gt;0,Table156[[#This Row],[Last]]&lt;MAX(Table156[Last]))</f>
        <v>1</v>
      </c>
      <c r="N19" s="41" t="str">
        <f>'Data In'!D25</f>
        <v>a</v>
      </c>
      <c r="O19" s="41" t="str">
        <f>'Data In'!E25</f>
        <v>a</v>
      </c>
      <c r="P19" s="41" t="e">
        <f t="shared" si="5"/>
        <v>#VALUE!</v>
      </c>
      <c r="Q19" s="41" t="e">
        <f t="shared" si="1"/>
        <v>#DIV/0!</v>
      </c>
      <c r="R19" s="41" t="e">
        <f>IF(Table156[[#This Row],[Rising Through Threshold2]],Table156[[#This Row],[Start time2]],R18)</f>
        <v>#DIV/0!</v>
      </c>
      <c r="S19" s="41" t="e">
        <f>IF(AND(Table156[[#This Row],[Rising Through Threshold2]],R18&gt;0),R19-R18,"")</f>
        <v>#DIV/0!</v>
      </c>
      <c r="T19" s="41" t="e">
        <f>IF(Table156[[#This Row],[Voltage2]]&gt;Threshold2,1,0)</f>
        <v>#DIV/0!</v>
      </c>
      <c r="U19" s="41" t="e">
        <f>AND(Table156[[#This Row],[Last2]]&gt;0,Table156[[#This Row],[Last2]]&lt;MAX(Table156[Last2]))</f>
        <v>#DIV/0!</v>
      </c>
      <c r="V19" s="41" t="b">
        <f>OR('Data In'!B25&gt;'Data In'!B24)</f>
        <v>1</v>
      </c>
      <c r="W19" s="41">
        <f>COUNTIF($V$2:V19,"false")</f>
        <v>1</v>
      </c>
      <c r="X19" s="57"/>
      <c r="Z19" s="8"/>
      <c r="AM19" s="9"/>
    </row>
    <row r="20" spans="1:39" x14ac:dyDescent="0.45">
      <c r="A20" s="1" t="s">
        <v>38</v>
      </c>
      <c r="B20" s="1">
        <f t="shared" si="2"/>
        <v>6</v>
      </c>
      <c r="C20" s="1">
        <f t="shared" si="3"/>
        <v>11</v>
      </c>
      <c r="D20" s="1">
        <f t="shared" si="3"/>
        <v>16</v>
      </c>
      <c r="E20" s="1" t="e">
        <f t="shared" si="3"/>
        <v>#VALUE!</v>
      </c>
      <c r="F20" s="3">
        <f>IF(Table156[[#This Row],[seq]]&gt;=Table156[[#Totals],[seq]],'Data In'!B26,"")</f>
        <v>470.88</v>
      </c>
      <c r="G20" s="4">
        <f>'Data In'!C26</f>
        <v>3.69</v>
      </c>
      <c r="H20" s="3" t="e">
        <f t="shared" si="4"/>
        <v>#VALUE!</v>
      </c>
      <c r="I20" s="1" t="b">
        <f t="shared" si="0"/>
        <v>0</v>
      </c>
      <c r="J20" s="1">
        <f>IF(Table156[[#This Row],[Rising Through Threshold]],Table156[[#This Row],[Start time]],J19)</f>
        <v>235.44</v>
      </c>
      <c r="K20" s="1" t="str">
        <f>IF(AND(Table156[[#This Row],[Rising Through Threshold]],J19&gt;0),J20-J19,"")</f>
        <v/>
      </c>
      <c r="L20" s="1">
        <f>IF(Table156[[#This Row],[Voltage]]&gt;Threshold,1,0)</f>
        <v>1</v>
      </c>
      <c r="M20" s="1" t="b">
        <f>AND(Table156[[#This Row],[Last]]&gt;0,Table156[[#This Row],[Last]]&lt;MAX(Table156[Last]))</f>
        <v>1</v>
      </c>
      <c r="N20" s="41" t="str">
        <f>'Data In'!D26</f>
        <v>a</v>
      </c>
      <c r="O20" s="41" t="str">
        <f>'Data In'!E26</f>
        <v>a</v>
      </c>
      <c r="P20" s="41" t="e">
        <f t="shared" si="5"/>
        <v>#VALUE!</v>
      </c>
      <c r="Q20" s="41" t="e">
        <f t="shared" si="1"/>
        <v>#DIV/0!</v>
      </c>
      <c r="R20" s="41" t="e">
        <f>IF(Table156[[#This Row],[Rising Through Threshold2]],Table156[[#This Row],[Start time2]],R19)</f>
        <v>#DIV/0!</v>
      </c>
      <c r="S20" s="41" t="e">
        <f>IF(AND(Table156[[#This Row],[Rising Through Threshold2]],R19&gt;0),R20-R19,"")</f>
        <v>#DIV/0!</v>
      </c>
      <c r="T20" s="41" t="e">
        <f>IF(Table156[[#This Row],[Voltage2]]&gt;Threshold2,1,0)</f>
        <v>#DIV/0!</v>
      </c>
      <c r="U20" s="41" t="e">
        <f>AND(Table156[[#This Row],[Last2]]&gt;0,Table156[[#This Row],[Last2]]&lt;MAX(Table156[Last2]))</f>
        <v>#DIV/0!</v>
      </c>
      <c r="V20" s="41" t="b">
        <f>OR('Data In'!B26&gt;'Data In'!B25)</f>
        <v>1</v>
      </c>
      <c r="W20" s="41">
        <f>COUNTIF($V$2:V20,"false")</f>
        <v>1</v>
      </c>
      <c r="X20" s="57"/>
      <c r="Z20" s="8"/>
      <c r="AM20" s="9"/>
    </row>
    <row r="21" spans="1:39" x14ac:dyDescent="0.45">
      <c r="A21" s="1" t="s">
        <v>39</v>
      </c>
      <c r="B21" s="1">
        <f t="shared" si="2"/>
        <v>6</v>
      </c>
      <c r="C21" s="1">
        <f t="shared" si="3"/>
        <v>11</v>
      </c>
      <c r="D21" s="1">
        <f t="shared" si="3"/>
        <v>16</v>
      </c>
      <c r="E21" s="1" t="e">
        <f t="shared" si="3"/>
        <v>#VALUE!</v>
      </c>
      <c r="F21" s="3">
        <f>IF(Table156[[#This Row],[seq]]&gt;=Table156[[#Totals],[seq]],'Data In'!B27,"")</f>
        <v>497.4</v>
      </c>
      <c r="G21" s="4">
        <f>'Data In'!C27</f>
        <v>3.75</v>
      </c>
      <c r="H21" s="3" t="e">
        <f t="shared" si="4"/>
        <v>#VALUE!</v>
      </c>
      <c r="I21" s="1" t="b">
        <f t="shared" si="0"/>
        <v>0</v>
      </c>
      <c r="J21" s="1">
        <f>IF(Table156[[#This Row],[Rising Through Threshold]],Table156[[#This Row],[Start time]],J20)</f>
        <v>235.44</v>
      </c>
      <c r="K21" s="1" t="str">
        <f>IF(AND(Table156[[#This Row],[Rising Through Threshold]],J20&gt;0),J21-J20,"")</f>
        <v/>
      </c>
      <c r="L21" s="1">
        <f>IF(Table156[[#This Row],[Voltage]]&gt;Threshold,1,0)</f>
        <v>1</v>
      </c>
      <c r="M21" s="1" t="b">
        <f>AND(Table156[[#This Row],[Last]]&gt;0,Table156[[#This Row],[Last]]&lt;MAX(Table156[Last]))</f>
        <v>1</v>
      </c>
      <c r="N21" s="41" t="str">
        <f>'Data In'!D27</f>
        <v>a</v>
      </c>
      <c r="O21" s="41" t="str">
        <f>'Data In'!E27</f>
        <v>a</v>
      </c>
      <c r="P21" s="41" t="e">
        <f t="shared" si="5"/>
        <v>#VALUE!</v>
      </c>
      <c r="Q21" s="41" t="e">
        <f t="shared" si="1"/>
        <v>#DIV/0!</v>
      </c>
      <c r="R21" s="41" t="e">
        <f>IF(Table156[[#This Row],[Rising Through Threshold2]],Table156[[#This Row],[Start time2]],R20)</f>
        <v>#DIV/0!</v>
      </c>
      <c r="S21" s="41" t="e">
        <f>IF(AND(Table156[[#This Row],[Rising Through Threshold2]],R20&gt;0),R21-R20,"")</f>
        <v>#DIV/0!</v>
      </c>
      <c r="T21" s="41" t="e">
        <f>IF(Table156[[#This Row],[Voltage2]]&gt;Threshold2,1,0)</f>
        <v>#DIV/0!</v>
      </c>
      <c r="U21" s="41" t="e">
        <f>AND(Table156[[#This Row],[Last2]]&gt;0,Table156[[#This Row],[Last2]]&lt;MAX(Table156[Last2]))</f>
        <v>#DIV/0!</v>
      </c>
      <c r="V21" s="41" t="b">
        <f>OR('Data In'!B27&gt;'Data In'!B26)</f>
        <v>1</v>
      </c>
      <c r="W21" s="41">
        <f>COUNTIF($V$2:V21,"false")</f>
        <v>1</v>
      </c>
      <c r="X21" s="57"/>
      <c r="Z21" s="8"/>
      <c r="AM21" s="9"/>
    </row>
    <row r="22" spans="1:39" x14ac:dyDescent="0.45">
      <c r="A22" s="1" t="s">
        <v>40</v>
      </c>
      <c r="B22" s="1">
        <f t="shared" si="2"/>
        <v>6</v>
      </c>
      <c r="C22" s="1">
        <f t="shared" si="3"/>
        <v>11</v>
      </c>
      <c r="D22" s="1">
        <f t="shared" si="3"/>
        <v>16</v>
      </c>
      <c r="E22" s="1" t="e">
        <f t="shared" si="3"/>
        <v>#VALUE!</v>
      </c>
      <c r="F22" s="3">
        <f>IF(Table156[[#This Row],[seq]]&gt;=Table156[[#Totals],[seq]],'Data In'!B28,"")</f>
        <v>523.20000000000005</v>
      </c>
      <c r="G22" s="4">
        <f>'Data In'!C28</f>
        <v>3.73</v>
      </c>
      <c r="H22" s="3" t="e">
        <f t="shared" si="4"/>
        <v>#VALUE!</v>
      </c>
      <c r="I22" s="1" t="b">
        <f t="shared" si="0"/>
        <v>0</v>
      </c>
      <c r="J22" s="1">
        <f>IF(Table156[[#This Row],[Rising Through Threshold]],Table156[[#This Row],[Start time]],J21)</f>
        <v>235.44</v>
      </c>
      <c r="K22" s="1" t="str">
        <f>IF(AND(Table156[[#This Row],[Rising Through Threshold]],J21&gt;0),J22-J21,"")</f>
        <v/>
      </c>
      <c r="L22" s="1">
        <f>IF(Table156[[#This Row],[Voltage]]&gt;Threshold,1,0)</f>
        <v>1</v>
      </c>
      <c r="M22" s="1" t="b">
        <f>AND(Table156[[#This Row],[Last]]&gt;0,Table156[[#This Row],[Last]]&lt;MAX(Table156[Last]))</f>
        <v>1</v>
      </c>
      <c r="N22" s="41" t="str">
        <f>'Data In'!D28</f>
        <v>a</v>
      </c>
      <c r="O22" s="41" t="str">
        <f>'Data In'!E28</f>
        <v>a</v>
      </c>
      <c r="P22" s="41" t="e">
        <f t="shared" si="5"/>
        <v>#VALUE!</v>
      </c>
      <c r="Q22" s="41" t="e">
        <f t="shared" si="1"/>
        <v>#DIV/0!</v>
      </c>
      <c r="R22" s="41" t="e">
        <f>IF(Table156[[#This Row],[Rising Through Threshold2]],Table156[[#This Row],[Start time2]],R21)</f>
        <v>#DIV/0!</v>
      </c>
      <c r="S22" s="41" t="e">
        <f>IF(AND(Table156[[#This Row],[Rising Through Threshold2]],R21&gt;0),R22-R21,"")</f>
        <v>#DIV/0!</v>
      </c>
      <c r="T22" s="41" t="e">
        <f>IF(Table156[[#This Row],[Voltage2]]&gt;Threshold2,1,0)</f>
        <v>#DIV/0!</v>
      </c>
      <c r="U22" s="41" t="e">
        <f>AND(Table156[[#This Row],[Last2]]&gt;0,Table156[[#This Row],[Last2]]&lt;MAX(Table156[Last2]))</f>
        <v>#DIV/0!</v>
      </c>
      <c r="V22" s="41" t="b">
        <f>OR('Data In'!B28&gt;'Data In'!B27)</f>
        <v>1</v>
      </c>
      <c r="W22" s="41">
        <f>COUNTIF($V$2:V22,"false")</f>
        <v>1</v>
      </c>
      <c r="X22" s="57"/>
      <c r="Z22" s="8"/>
      <c r="AM22" s="9"/>
    </row>
    <row r="23" spans="1:39" x14ac:dyDescent="0.45">
      <c r="A23" s="1" t="s">
        <v>41</v>
      </c>
      <c r="B23" s="1">
        <f t="shared" si="2"/>
        <v>6</v>
      </c>
      <c r="C23" s="1">
        <f t="shared" si="3"/>
        <v>11</v>
      </c>
      <c r="D23" s="1">
        <f t="shared" si="3"/>
        <v>16</v>
      </c>
      <c r="E23" s="1" t="e">
        <f t="shared" si="3"/>
        <v>#VALUE!</v>
      </c>
      <c r="F23" s="3">
        <f>IF(Table156[[#This Row],[seq]]&gt;=Table156[[#Totals],[seq]],'Data In'!B29,"")</f>
        <v>549.36</v>
      </c>
      <c r="G23" s="4">
        <f>'Data In'!C29</f>
        <v>3.63</v>
      </c>
      <c r="H23" s="3" t="e">
        <f t="shared" si="4"/>
        <v>#VALUE!</v>
      </c>
      <c r="I23" s="1" t="b">
        <f t="shared" si="0"/>
        <v>0</v>
      </c>
      <c r="J23" s="1">
        <f>IF(Table156[[#This Row],[Rising Through Threshold]],Table156[[#This Row],[Start time]],J22)</f>
        <v>235.44</v>
      </c>
      <c r="K23" s="1" t="str">
        <f>IF(AND(Table156[[#This Row],[Rising Through Threshold]],J22&gt;0),J23-J22,"")</f>
        <v/>
      </c>
      <c r="L23" s="1">
        <f>IF(Table156[[#This Row],[Voltage]]&gt;Threshold,1,0)</f>
        <v>1</v>
      </c>
      <c r="M23" s="1" t="b">
        <f>AND(Table156[[#This Row],[Last]]&gt;0,Table156[[#This Row],[Last]]&lt;MAX(Table156[Last]))</f>
        <v>1</v>
      </c>
      <c r="N23" s="41" t="str">
        <f>'Data In'!D29</f>
        <v>a</v>
      </c>
      <c r="O23" s="41" t="str">
        <f>'Data In'!E29</f>
        <v>a</v>
      </c>
      <c r="P23" s="41" t="e">
        <f t="shared" si="5"/>
        <v>#VALUE!</v>
      </c>
      <c r="Q23" s="41" t="e">
        <f t="shared" si="1"/>
        <v>#DIV/0!</v>
      </c>
      <c r="R23" s="41" t="e">
        <f>IF(Table156[[#This Row],[Rising Through Threshold2]],Table156[[#This Row],[Start time2]],R22)</f>
        <v>#DIV/0!</v>
      </c>
      <c r="S23" s="41" t="e">
        <f>IF(AND(Table156[[#This Row],[Rising Through Threshold2]],R22&gt;0),R23-R22,"")</f>
        <v>#DIV/0!</v>
      </c>
      <c r="T23" s="41" t="e">
        <f>IF(Table156[[#This Row],[Voltage2]]&gt;Threshold2,1,0)</f>
        <v>#DIV/0!</v>
      </c>
      <c r="U23" s="41" t="e">
        <f>AND(Table156[[#This Row],[Last2]]&gt;0,Table156[[#This Row],[Last2]]&lt;MAX(Table156[Last2]))</f>
        <v>#DIV/0!</v>
      </c>
      <c r="V23" s="41" t="b">
        <f>OR('Data In'!B29&gt;'Data In'!B28)</f>
        <v>1</v>
      </c>
      <c r="W23" s="41">
        <f>COUNTIF($V$2:V23,"false")</f>
        <v>1</v>
      </c>
      <c r="X23" s="57"/>
      <c r="Z23" s="8"/>
      <c r="AM23" s="9"/>
    </row>
    <row r="24" spans="1:39" ht="15.75" x14ac:dyDescent="0.5">
      <c r="A24" s="1" t="s">
        <v>42</v>
      </c>
      <c r="B24" s="1">
        <f t="shared" si="2"/>
        <v>6</v>
      </c>
      <c r="C24" s="1">
        <f t="shared" si="3"/>
        <v>11</v>
      </c>
      <c r="D24" s="1">
        <f t="shared" si="3"/>
        <v>16</v>
      </c>
      <c r="E24" s="1" t="e">
        <f t="shared" si="3"/>
        <v>#VALUE!</v>
      </c>
      <c r="F24" s="3">
        <f>IF(Table156[[#This Row],[seq]]&gt;=Table156[[#Totals],[seq]],'Data In'!B30,"")</f>
        <v>575.52</v>
      </c>
      <c r="G24" s="4">
        <f>'Data In'!C30</f>
        <v>3.37</v>
      </c>
      <c r="H24" s="3" t="e">
        <f t="shared" si="4"/>
        <v>#VALUE!</v>
      </c>
      <c r="I24" s="1" t="b">
        <f t="shared" si="0"/>
        <v>0</v>
      </c>
      <c r="J24" s="1">
        <f>IF(Table156[[#This Row],[Rising Through Threshold]],Table156[[#This Row],[Start time]],J23)</f>
        <v>235.44</v>
      </c>
      <c r="K24" s="1" t="str">
        <f>IF(AND(Table156[[#This Row],[Rising Through Threshold]],J23&gt;0),J24-J23,"")</f>
        <v/>
      </c>
      <c r="L24" s="1">
        <f>IF(Table156[[#This Row],[Voltage]]&gt;Threshold,1,0)</f>
        <v>1</v>
      </c>
      <c r="M24" s="1" t="b">
        <f>AND(Table156[[#This Row],[Last]]&gt;0,Table156[[#This Row],[Last]]&lt;MAX(Table156[Last]))</f>
        <v>1</v>
      </c>
      <c r="N24" s="41" t="str">
        <f>'Data In'!D30</f>
        <v>a</v>
      </c>
      <c r="O24" s="41" t="str">
        <f>'Data In'!E30</f>
        <v>a</v>
      </c>
      <c r="P24" s="41" t="e">
        <f t="shared" si="5"/>
        <v>#VALUE!</v>
      </c>
      <c r="Q24" s="41" t="e">
        <f t="shared" si="1"/>
        <v>#DIV/0!</v>
      </c>
      <c r="R24" s="41" t="e">
        <f>IF(Table156[[#This Row],[Rising Through Threshold2]],Table156[[#This Row],[Start time2]],R23)</f>
        <v>#DIV/0!</v>
      </c>
      <c r="S24" s="41" t="e">
        <f>IF(AND(Table156[[#This Row],[Rising Through Threshold2]],R23&gt;0),R24-R23,"")</f>
        <v>#DIV/0!</v>
      </c>
      <c r="T24" s="41" t="e">
        <f>IF(Table156[[#This Row],[Voltage2]]&gt;Threshold2,1,0)</f>
        <v>#DIV/0!</v>
      </c>
      <c r="U24" s="41" t="e">
        <f>AND(Table156[[#This Row],[Last2]]&gt;0,Table156[[#This Row],[Last2]]&lt;MAX(Table156[Last2]))</f>
        <v>#DIV/0!</v>
      </c>
      <c r="V24" s="41" t="b">
        <f>OR('Data In'!B30&gt;'Data In'!B29)</f>
        <v>1</v>
      </c>
      <c r="W24" s="41">
        <f>COUNTIF($V$2:V24,"false")</f>
        <v>1</v>
      </c>
      <c r="X24" s="57"/>
      <c r="Z24" s="8"/>
      <c r="AA24" s="47" t="s">
        <v>8</v>
      </c>
      <c r="AB24" s="48">
        <f>MAX(Table156[Voltage])</f>
        <v>3.75</v>
      </c>
      <c r="AC24" s="49"/>
      <c r="AD24" s="49"/>
      <c r="AE24" s="47" t="s">
        <v>11</v>
      </c>
      <c r="AF24" s="48">
        <f>AB27</f>
        <v>2.3176000000000001</v>
      </c>
      <c r="AG24" s="42" t="s">
        <v>8</v>
      </c>
      <c r="AH24" s="43">
        <f>MAX(Table156[Voltage2])</f>
        <v>0</v>
      </c>
      <c r="AI24" s="44"/>
      <c r="AJ24" s="44"/>
      <c r="AK24" s="42" t="s">
        <v>11</v>
      </c>
      <c r="AL24" s="43" t="e">
        <f>AH27</f>
        <v>#DIV/0!</v>
      </c>
      <c r="AM24" s="9"/>
    </row>
    <row r="25" spans="1:39" ht="15.75" x14ac:dyDescent="0.5">
      <c r="A25" s="1" t="s">
        <v>43</v>
      </c>
      <c r="B25" s="1">
        <f t="shared" si="2"/>
        <v>6</v>
      </c>
      <c r="C25" s="1">
        <f t="shared" si="3"/>
        <v>11</v>
      </c>
      <c r="D25" s="1">
        <f t="shared" si="3"/>
        <v>16</v>
      </c>
      <c r="E25" s="1" t="e">
        <f t="shared" si="3"/>
        <v>#VALUE!</v>
      </c>
      <c r="F25" s="3">
        <f>IF(Table156[[#This Row],[seq]]&gt;=Table156[[#Totals],[seq]],'Data In'!B31,"")</f>
        <v>601.67999999999995</v>
      </c>
      <c r="G25" s="4">
        <f>'Data In'!C31</f>
        <v>2.94</v>
      </c>
      <c r="H25" s="3" t="e">
        <f t="shared" si="4"/>
        <v>#VALUE!</v>
      </c>
      <c r="I25" s="1" t="b">
        <f t="shared" si="0"/>
        <v>0</v>
      </c>
      <c r="J25" s="1">
        <f>IF(Table156[[#This Row],[Rising Through Threshold]],Table156[[#This Row],[Start time]],J24)</f>
        <v>235.44</v>
      </c>
      <c r="K25" s="1" t="str">
        <f>IF(AND(Table156[[#This Row],[Rising Through Threshold]],J24&gt;0),J25-J24,"")</f>
        <v/>
      </c>
      <c r="L25" s="1">
        <f>IF(Table156[[#This Row],[Voltage]]&gt;Threshold,1,0)</f>
        <v>1</v>
      </c>
      <c r="M25" s="1" t="b">
        <f>AND(Table156[[#This Row],[Last]]&gt;0,Table156[[#This Row],[Last]]&lt;MAX(Table156[Last]))</f>
        <v>1</v>
      </c>
      <c r="N25" s="41" t="str">
        <f>'Data In'!D31</f>
        <v>a</v>
      </c>
      <c r="O25" s="41" t="str">
        <f>'Data In'!E31</f>
        <v>a</v>
      </c>
      <c r="P25" s="41" t="e">
        <f t="shared" si="5"/>
        <v>#VALUE!</v>
      </c>
      <c r="Q25" s="41" t="e">
        <f t="shared" si="1"/>
        <v>#DIV/0!</v>
      </c>
      <c r="R25" s="41" t="e">
        <f>IF(Table156[[#This Row],[Rising Through Threshold2]],Table156[[#This Row],[Start time2]],R24)</f>
        <v>#DIV/0!</v>
      </c>
      <c r="S25" s="41" t="e">
        <f>IF(AND(Table156[[#This Row],[Rising Through Threshold2]],R24&gt;0),R25-R24,"")</f>
        <v>#DIV/0!</v>
      </c>
      <c r="T25" s="41" t="e">
        <f>IF(Table156[[#This Row],[Voltage2]]&gt;Threshold2,1,0)</f>
        <v>#DIV/0!</v>
      </c>
      <c r="U25" s="41" t="e">
        <f>AND(Table156[[#This Row],[Last2]]&gt;0,Table156[[#This Row],[Last2]]&lt;MAX(Table156[Last2]))</f>
        <v>#DIV/0!</v>
      </c>
      <c r="V25" s="41" t="b">
        <f>OR('Data In'!B31&gt;'Data In'!B30)</f>
        <v>1</v>
      </c>
      <c r="W25" s="41">
        <f>COUNTIF($V$2:V25,"false")</f>
        <v>1</v>
      </c>
      <c r="X25" s="57"/>
      <c r="Z25" s="8"/>
      <c r="AA25" s="47" t="s">
        <v>9</v>
      </c>
      <c r="AB25" s="48">
        <f>MIN(Table156[Voltage])</f>
        <v>0.43</v>
      </c>
      <c r="AC25" s="49"/>
      <c r="AD25" s="49"/>
      <c r="AE25" s="47" t="s">
        <v>14</v>
      </c>
      <c r="AF25" s="50">
        <f>Table156[[#Totals],[Period]]</f>
        <v>763</v>
      </c>
      <c r="AG25" s="42" t="s">
        <v>9</v>
      </c>
      <c r="AH25" s="43">
        <f>MIN(Table156[Voltage2])</f>
        <v>0</v>
      </c>
      <c r="AI25" s="44"/>
      <c r="AJ25" s="44"/>
      <c r="AK25" s="42" t="s">
        <v>14</v>
      </c>
      <c r="AL25" s="45" t="e">
        <f>Table156[[#Totals],[Period2]]</f>
        <v>#DIV/0!</v>
      </c>
      <c r="AM25" s="9"/>
    </row>
    <row r="26" spans="1:39" ht="15.75" x14ac:dyDescent="0.5">
      <c r="A26" s="1" t="s">
        <v>44</v>
      </c>
      <c r="B26" s="1">
        <f t="shared" si="2"/>
        <v>6</v>
      </c>
      <c r="C26" s="1">
        <f t="shared" si="3"/>
        <v>11</v>
      </c>
      <c r="D26" s="1">
        <f t="shared" si="3"/>
        <v>16</v>
      </c>
      <c r="E26" s="1" t="e">
        <f t="shared" si="3"/>
        <v>#VALUE!</v>
      </c>
      <c r="F26" s="3">
        <f>IF(Table156[[#This Row],[seq]]&gt;=Table156[[#Totals],[seq]],'Data In'!B32,"")</f>
        <v>627.84</v>
      </c>
      <c r="G26" s="4">
        <f>'Data In'!C32</f>
        <v>2.33</v>
      </c>
      <c r="H26" s="3" t="e">
        <f t="shared" si="4"/>
        <v>#VALUE!</v>
      </c>
      <c r="I26" s="1" t="b">
        <f t="shared" si="0"/>
        <v>0</v>
      </c>
      <c r="J26" s="1">
        <f>IF(Table156[[#This Row],[Rising Through Threshold]],Table156[[#This Row],[Start time]],J25)</f>
        <v>235.44</v>
      </c>
      <c r="K26" s="1" t="str">
        <f>IF(AND(Table156[[#This Row],[Rising Through Threshold]],J25&gt;0),J26-J25,"")</f>
        <v/>
      </c>
      <c r="L26" s="1">
        <f>IF(Table156[[#This Row],[Voltage]]&gt;Threshold,1,0)</f>
        <v>1</v>
      </c>
      <c r="M26" s="1" t="b">
        <f>AND(Table156[[#This Row],[Last]]&gt;0,Table156[[#This Row],[Last]]&lt;MAX(Table156[Last]))</f>
        <v>1</v>
      </c>
      <c r="N26" s="41" t="str">
        <f>'Data In'!D32</f>
        <v>a</v>
      </c>
      <c r="O26" s="41" t="str">
        <f>'Data In'!E32</f>
        <v>a</v>
      </c>
      <c r="P26" s="41" t="e">
        <f t="shared" si="5"/>
        <v>#VALUE!</v>
      </c>
      <c r="Q26" s="41" t="e">
        <f t="shared" si="1"/>
        <v>#DIV/0!</v>
      </c>
      <c r="R26" s="41" t="e">
        <f>IF(Table156[[#This Row],[Rising Through Threshold2]],Table156[[#This Row],[Start time2]],R25)</f>
        <v>#DIV/0!</v>
      </c>
      <c r="S26" s="41" t="e">
        <f>IF(AND(Table156[[#This Row],[Rising Through Threshold2]],R25&gt;0),R26-R25,"")</f>
        <v>#DIV/0!</v>
      </c>
      <c r="T26" s="41" t="e">
        <f>IF(Table156[[#This Row],[Voltage2]]&gt;Threshold2,1,0)</f>
        <v>#DIV/0!</v>
      </c>
      <c r="U26" s="41" t="e">
        <f>AND(Table156[[#This Row],[Last2]]&gt;0,Table156[[#This Row],[Last2]]&lt;MAX(Table156[Last2]))</f>
        <v>#DIV/0!</v>
      </c>
      <c r="V26" s="41" t="b">
        <f>OR('Data In'!B32&gt;'Data In'!B31)</f>
        <v>1</v>
      </c>
      <c r="W26" s="41">
        <f>COUNTIF($V$2:V26,"false")</f>
        <v>1</v>
      </c>
      <c r="X26" s="57"/>
      <c r="Z26" s="8"/>
      <c r="AA26" s="47" t="s">
        <v>10</v>
      </c>
      <c r="AB26" s="48">
        <f>AB24-AB25</f>
        <v>3.32</v>
      </c>
      <c r="AC26" s="49"/>
      <c r="AD26" s="49"/>
      <c r="AE26" s="47" t="s">
        <v>16</v>
      </c>
      <c r="AF26" s="51">
        <f>1/(AF25/1000000)</f>
        <v>1310.615989515072</v>
      </c>
      <c r="AG26" s="42" t="s">
        <v>10</v>
      </c>
      <c r="AH26" s="43">
        <f>AH24-AH25</f>
        <v>0</v>
      </c>
      <c r="AI26" s="44"/>
      <c r="AJ26" s="44"/>
      <c r="AK26" s="42" t="s">
        <v>16</v>
      </c>
      <c r="AL26" s="46" t="e">
        <f>1/(AL25/1000000)</f>
        <v>#DIV/0!</v>
      </c>
      <c r="AM26" s="9"/>
    </row>
    <row r="27" spans="1:39" ht="15.75" x14ac:dyDescent="0.5">
      <c r="A27" s="1" t="s">
        <v>45</v>
      </c>
      <c r="B27" s="1">
        <f t="shared" si="2"/>
        <v>6</v>
      </c>
      <c r="C27" s="1">
        <f t="shared" si="3"/>
        <v>11</v>
      </c>
      <c r="D27" s="1">
        <f t="shared" si="3"/>
        <v>16</v>
      </c>
      <c r="E27" s="1" t="e">
        <f t="shared" si="3"/>
        <v>#VALUE!</v>
      </c>
      <c r="F27" s="3">
        <f>IF(Table156[[#This Row],[seq]]&gt;=Table156[[#Totals],[seq]],'Data In'!B33,"")</f>
        <v>654</v>
      </c>
      <c r="G27" s="4">
        <f>'Data In'!C33</f>
        <v>1.61</v>
      </c>
      <c r="H27" s="3" t="e">
        <f t="shared" si="4"/>
        <v>#VALUE!</v>
      </c>
      <c r="I27" s="1" t="b">
        <f t="shared" si="0"/>
        <v>0</v>
      </c>
      <c r="J27" s="1">
        <f>IF(Table156[[#This Row],[Rising Through Threshold]],Table156[[#This Row],[Start time]],J26)</f>
        <v>235.44</v>
      </c>
      <c r="K27" s="1" t="str">
        <f>IF(AND(Table156[[#This Row],[Rising Through Threshold]],J26&gt;0),J27-J26,"")</f>
        <v/>
      </c>
      <c r="L27" s="1">
        <f>IF(Table156[[#This Row],[Voltage]]&gt;Threshold,1,0)</f>
        <v>0</v>
      </c>
      <c r="M27" s="1" t="b">
        <f>AND(Table156[[#This Row],[Last]]&gt;0,Table156[[#This Row],[Last]]&lt;MAX(Table156[Last]))</f>
        <v>1</v>
      </c>
      <c r="N27" s="41" t="str">
        <f>'Data In'!D33</f>
        <v>a</v>
      </c>
      <c r="O27" s="41" t="str">
        <f>'Data In'!E33</f>
        <v>a</v>
      </c>
      <c r="P27" s="41" t="e">
        <f t="shared" si="5"/>
        <v>#VALUE!</v>
      </c>
      <c r="Q27" s="41" t="e">
        <f t="shared" si="1"/>
        <v>#DIV/0!</v>
      </c>
      <c r="R27" s="41" t="e">
        <f>IF(Table156[[#This Row],[Rising Through Threshold2]],Table156[[#This Row],[Start time2]],R26)</f>
        <v>#DIV/0!</v>
      </c>
      <c r="S27" s="41" t="e">
        <f>IF(AND(Table156[[#This Row],[Rising Through Threshold2]],R26&gt;0),R27-R26,"")</f>
        <v>#DIV/0!</v>
      </c>
      <c r="T27" s="41" t="e">
        <f>IF(Table156[[#This Row],[Voltage2]]&gt;Threshold2,1,0)</f>
        <v>#DIV/0!</v>
      </c>
      <c r="U27" s="41" t="e">
        <f>AND(Table156[[#This Row],[Last2]]&gt;0,Table156[[#This Row],[Last2]]&lt;MAX(Table156[Last2]))</f>
        <v>#DIV/0!</v>
      </c>
      <c r="V27" s="41" t="b">
        <f>OR('Data In'!B33&gt;'Data In'!B32)</f>
        <v>1</v>
      </c>
      <c r="W27" s="41">
        <f>COUNTIF($V$2:V27,"false")</f>
        <v>1</v>
      </c>
      <c r="X27" s="57"/>
      <c r="Z27" s="8"/>
      <c r="AA27" s="47" t="s">
        <v>17</v>
      </c>
      <c r="AB27" s="48">
        <f>Table156[[#Totals],[Voltage]]</f>
        <v>2.3176000000000001</v>
      </c>
      <c r="AC27" s="49"/>
      <c r="AD27" s="49"/>
      <c r="AE27" s="49" t="s">
        <v>463</v>
      </c>
      <c r="AF27" s="56">
        <f>Y8/Y6</f>
        <v>0.5485714285714286</v>
      </c>
      <c r="AG27" s="42" t="s">
        <v>17</v>
      </c>
      <c r="AH27" s="43" t="e">
        <f>Table156[[#Totals],[Voltage2]]</f>
        <v>#DIV/0!</v>
      </c>
      <c r="AI27" s="44"/>
      <c r="AJ27" s="44"/>
      <c r="AK27" s="44" t="s">
        <v>463</v>
      </c>
      <c r="AL27" s="55" t="e">
        <f>Y4/Y2</f>
        <v>#DIV/0!</v>
      </c>
      <c r="AM27" s="9"/>
    </row>
    <row r="28" spans="1:39" x14ac:dyDescent="0.45">
      <c r="A28" s="1" t="s">
        <v>46</v>
      </c>
      <c r="B28" s="1">
        <f t="shared" si="2"/>
        <v>6</v>
      </c>
      <c r="C28" s="1">
        <f t="shared" si="3"/>
        <v>11</v>
      </c>
      <c r="D28" s="1">
        <f t="shared" si="3"/>
        <v>16</v>
      </c>
      <c r="E28" s="1" t="e">
        <f t="shared" si="3"/>
        <v>#VALUE!</v>
      </c>
      <c r="F28" s="3">
        <f>IF(Table156[[#This Row],[seq]]&gt;=Table156[[#Totals],[seq]],'Data In'!B34,"")</f>
        <v>680.16</v>
      </c>
      <c r="G28" s="4">
        <f>'Data In'!C34</f>
        <v>0.9</v>
      </c>
      <c r="H28" s="3" t="e">
        <f t="shared" si="4"/>
        <v>#VALUE!</v>
      </c>
      <c r="I28" s="1" t="b">
        <f t="shared" si="0"/>
        <v>0</v>
      </c>
      <c r="J28" s="1">
        <f>IF(Table156[[#This Row],[Rising Through Threshold]],Table156[[#This Row],[Start time]],J27)</f>
        <v>235.44</v>
      </c>
      <c r="K28" s="1" t="str">
        <f>IF(AND(Table156[[#This Row],[Rising Through Threshold]],J27&gt;0),J28-J27,"")</f>
        <v/>
      </c>
      <c r="L28" s="1">
        <f>IF(Table156[[#This Row],[Voltage]]&gt;Threshold,1,0)</f>
        <v>0</v>
      </c>
      <c r="M28" s="1" t="b">
        <f>AND(Table156[[#This Row],[Last]]&gt;0,Table156[[#This Row],[Last]]&lt;MAX(Table156[Last]))</f>
        <v>1</v>
      </c>
      <c r="N28" s="41" t="str">
        <f>'Data In'!D34</f>
        <v>a</v>
      </c>
      <c r="O28" s="41" t="str">
        <f>'Data In'!E34</f>
        <v>a</v>
      </c>
      <c r="P28" s="41" t="e">
        <f t="shared" si="5"/>
        <v>#VALUE!</v>
      </c>
      <c r="Q28" s="41" t="e">
        <f t="shared" si="1"/>
        <v>#DIV/0!</v>
      </c>
      <c r="R28" s="41" t="e">
        <f>IF(Table156[[#This Row],[Rising Through Threshold2]],Table156[[#This Row],[Start time2]],R27)</f>
        <v>#DIV/0!</v>
      </c>
      <c r="S28" s="41" t="e">
        <f>IF(AND(Table156[[#This Row],[Rising Through Threshold2]],R27&gt;0),R28-R27,"")</f>
        <v>#DIV/0!</v>
      </c>
      <c r="T28" s="41" t="e">
        <f>IF(Table156[[#This Row],[Voltage2]]&gt;Threshold2,1,0)</f>
        <v>#DIV/0!</v>
      </c>
      <c r="U28" s="41" t="e">
        <f>AND(Table156[[#This Row],[Last2]]&gt;0,Table156[[#This Row],[Last2]]&lt;MAX(Table156[Last2]))</f>
        <v>#DIV/0!</v>
      </c>
      <c r="V28" s="41" t="b">
        <f>OR('Data In'!B34&gt;'Data In'!B33)</f>
        <v>1</v>
      </c>
      <c r="W28" s="41">
        <f>COUNTIF($V$2:V28,"false")</f>
        <v>1</v>
      </c>
      <c r="X28" s="57"/>
      <c r="Z28" s="8"/>
      <c r="AM28" s="9"/>
    </row>
    <row r="29" spans="1:39" x14ac:dyDescent="0.45">
      <c r="A29" s="1" t="s">
        <v>47</v>
      </c>
      <c r="B29" s="1">
        <f t="shared" si="2"/>
        <v>6</v>
      </c>
      <c r="C29" s="1">
        <f t="shared" si="3"/>
        <v>11</v>
      </c>
      <c r="D29" s="1">
        <f t="shared" si="3"/>
        <v>16</v>
      </c>
      <c r="E29" s="1" t="e">
        <f t="shared" si="3"/>
        <v>#VALUE!</v>
      </c>
      <c r="F29" s="3">
        <f>IF(Table156[[#This Row],[seq]]&gt;=Table156[[#Totals],[seq]],'Data In'!B35,"")</f>
        <v>706.32</v>
      </c>
      <c r="G29" s="4">
        <f>'Data In'!C35</f>
        <v>0.43</v>
      </c>
      <c r="H29" s="3" t="e">
        <f t="shared" si="4"/>
        <v>#VALUE!</v>
      </c>
      <c r="I29" s="1" t="b">
        <f t="shared" si="0"/>
        <v>0</v>
      </c>
      <c r="J29" s="1">
        <f>IF(Table156[[#This Row],[Rising Through Threshold]],Table156[[#This Row],[Start time]],J28)</f>
        <v>235.44</v>
      </c>
      <c r="K29" s="1" t="str">
        <f>IF(AND(Table156[[#This Row],[Rising Through Threshold]],J28&gt;0),J29-J28,"")</f>
        <v/>
      </c>
      <c r="L29" s="1">
        <f>IF(Table156[[#This Row],[Voltage]]&gt;Threshold,1,0)</f>
        <v>0</v>
      </c>
      <c r="M29" s="1" t="b">
        <f>AND(Table156[[#This Row],[Last]]&gt;0,Table156[[#This Row],[Last]]&lt;MAX(Table156[Last]))</f>
        <v>1</v>
      </c>
      <c r="N29" s="41" t="str">
        <f>'Data In'!D35</f>
        <v>a</v>
      </c>
      <c r="O29" s="41" t="str">
        <f>'Data In'!E35</f>
        <v>a</v>
      </c>
      <c r="P29" s="41" t="e">
        <f t="shared" si="5"/>
        <v>#VALUE!</v>
      </c>
      <c r="Q29" s="41" t="e">
        <f t="shared" si="1"/>
        <v>#DIV/0!</v>
      </c>
      <c r="R29" s="41" t="e">
        <f>IF(Table156[[#This Row],[Rising Through Threshold2]],Table156[[#This Row],[Start time2]],R28)</f>
        <v>#DIV/0!</v>
      </c>
      <c r="S29" s="41" t="e">
        <f>IF(AND(Table156[[#This Row],[Rising Through Threshold2]],R28&gt;0),R29-R28,"")</f>
        <v>#DIV/0!</v>
      </c>
      <c r="T29" s="41" t="e">
        <f>IF(Table156[[#This Row],[Voltage2]]&gt;Threshold2,1,0)</f>
        <v>#DIV/0!</v>
      </c>
      <c r="U29" s="41" t="e">
        <f>AND(Table156[[#This Row],[Last2]]&gt;0,Table156[[#This Row],[Last2]]&lt;MAX(Table156[Last2]))</f>
        <v>#DIV/0!</v>
      </c>
      <c r="V29" s="41" t="b">
        <f>OR('Data In'!B35&gt;'Data In'!B34)</f>
        <v>1</v>
      </c>
      <c r="W29" s="41">
        <f>COUNTIF($V$2:V29,"false")</f>
        <v>1</v>
      </c>
      <c r="X29" s="57"/>
      <c r="Z29" s="8"/>
      <c r="AA29" t="s">
        <v>873</v>
      </c>
      <c r="AC29" t="s">
        <v>874</v>
      </c>
      <c r="AM29" s="9"/>
    </row>
    <row r="30" spans="1:39" x14ac:dyDescent="0.45">
      <c r="A30" s="1" t="s">
        <v>48</v>
      </c>
      <c r="B30" s="1">
        <f t="shared" si="2"/>
        <v>6</v>
      </c>
      <c r="C30" s="1">
        <f t="shared" si="3"/>
        <v>11</v>
      </c>
      <c r="D30" s="1">
        <f t="shared" si="3"/>
        <v>16</v>
      </c>
      <c r="E30" s="1" t="e">
        <f t="shared" si="3"/>
        <v>#VALUE!</v>
      </c>
      <c r="F30" s="3">
        <f>IF(Table156[[#This Row],[seq]]&gt;=Table156[[#Totals],[seq]],'Data In'!B36,"")</f>
        <v>732.48</v>
      </c>
      <c r="G30" s="4">
        <f>'Data In'!C36</f>
        <v>0.45</v>
      </c>
      <c r="H30" s="3" t="e">
        <f t="shared" si="4"/>
        <v>#VALUE!</v>
      </c>
      <c r="I30" s="1" t="b">
        <f t="shared" si="0"/>
        <v>0</v>
      </c>
      <c r="J30" s="1">
        <f>IF(Table156[[#This Row],[Rising Through Threshold]],Table156[[#This Row],[Start time]],J29)</f>
        <v>235.44</v>
      </c>
      <c r="K30" s="1" t="str">
        <f>IF(AND(Table156[[#This Row],[Rising Through Threshold]],J29&gt;0),J30-J29,"")</f>
        <v/>
      </c>
      <c r="L30" s="1">
        <f>IF(Table156[[#This Row],[Voltage]]&gt;Threshold,1,0)</f>
        <v>0</v>
      </c>
      <c r="M30" s="1" t="b">
        <f>AND(Table156[[#This Row],[Last]]&gt;0,Table156[[#This Row],[Last]]&lt;MAX(Table156[Last]))</f>
        <v>1</v>
      </c>
      <c r="N30" s="41" t="str">
        <f>'Data In'!D36</f>
        <v>a</v>
      </c>
      <c r="O30" s="41" t="str">
        <f>'Data In'!E36</f>
        <v>a</v>
      </c>
      <c r="P30" s="41" t="e">
        <f t="shared" si="5"/>
        <v>#VALUE!</v>
      </c>
      <c r="Q30" s="41" t="e">
        <f t="shared" si="1"/>
        <v>#DIV/0!</v>
      </c>
      <c r="R30" s="41" t="e">
        <f>IF(Table156[[#This Row],[Rising Through Threshold2]],Table156[[#This Row],[Start time2]],R29)</f>
        <v>#DIV/0!</v>
      </c>
      <c r="S30" s="41" t="e">
        <f>IF(AND(Table156[[#This Row],[Rising Through Threshold2]],R29&gt;0),R30-R29,"")</f>
        <v>#DIV/0!</v>
      </c>
      <c r="T30" s="41" t="e">
        <f>IF(Table156[[#This Row],[Voltage2]]&gt;Threshold2,1,0)</f>
        <v>#DIV/0!</v>
      </c>
      <c r="U30" s="41" t="e">
        <f>AND(Table156[[#This Row],[Last2]]&gt;0,Table156[[#This Row],[Last2]]&lt;MAX(Table156[Last2]))</f>
        <v>#DIV/0!</v>
      </c>
      <c r="V30" s="41" t="b">
        <f>OR('Data In'!B36&gt;'Data In'!B35)</f>
        <v>1</v>
      </c>
      <c r="W30" s="41">
        <f>COUNTIF($V$2:V30,"false")</f>
        <v>1</v>
      </c>
      <c r="X30" s="57"/>
      <c r="Z30" s="8"/>
      <c r="AA30" s="52" cm="1">
        <f t="array" ref="AA30">TBL_CUR[CH5]</f>
        <v>4000</v>
      </c>
      <c r="AC30" cm="1">
        <f t="array" ref="AC30">TBL_CUR[CH6]</f>
        <v>5</v>
      </c>
      <c r="AM30" s="9"/>
    </row>
    <row r="31" spans="1:39" ht="14.65" thickBot="1" x14ac:dyDescent="0.5">
      <c r="A31" s="1" t="s">
        <v>49</v>
      </c>
      <c r="B31" s="1">
        <f t="shared" si="2"/>
        <v>6</v>
      </c>
      <c r="C31" s="1">
        <f t="shared" si="3"/>
        <v>11</v>
      </c>
      <c r="D31" s="1">
        <f t="shared" si="3"/>
        <v>16</v>
      </c>
      <c r="E31" s="1" t="e">
        <f t="shared" si="3"/>
        <v>#VALUE!</v>
      </c>
      <c r="F31" s="3">
        <f>IF(Table156[[#This Row],[seq]]&gt;=Table156[[#Totals],[seq]],'Data In'!B37,"")</f>
        <v>758.64</v>
      </c>
      <c r="G31" s="4">
        <f>'Data In'!C37</f>
        <v>0.47</v>
      </c>
      <c r="H31" s="3" t="e">
        <f t="shared" si="4"/>
        <v>#VALUE!</v>
      </c>
      <c r="I31" s="1" t="b">
        <f t="shared" si="0"/>
        <v>0</v>
      </c>
      <c r="J31" s="1">
        <f>IF(Table156[[#This Row],[Rising Through Threshold]],Table156[[#This Row],[Start time]],J30)</f>
        <v>235.44</v>
      </c>
      <c r="K31" s="1" t="str">
        <f>IF(AND(Table156[[#This Row],[Rising Through Threshold]],J30&gt;0),J31-J30,"")</f>
        <v/>
      </c>
      <c r="L31" s="1">
        <f>IF(Table156[[#This Row],[Voltage]]&gt;Threshold,1,0)</f>
        <v>0</v>
      </c>
      <c r="M31" s="1" t="b">
        <f>AND(Table156[[#This Row],[Last]]&gt;0,Table156[[#This Row],[Last]]&lt;MAX(Table156[Last]))</f>
        <v>1</v>
      </c>
      <c r="N31" s="41" t="str">
        <f>'Data In'!D37</f>
        <v>a</v>
      </c>
      <c r="O31" s="41" t="str">
        <f>'Data In'!E37</f>
        <v>a</v>
      </c>
      <c r="P31" s="41" t="e">
        <f t="shared" si="5"/>
        <v>#VALUE!</v>
      </c>
      <c r="Q31" s="41" t="e">
        <f t="shared" si="1"/>
        <v>#DIV/0!</v>
      </c>
      <c r="R31" s="41" t="e">
        <f>IF(Table156[[#This Row],[Rising Through Threshold2]],Table156[[#This Row],[Start time2]],R30)</f>
        <v>#DIV/0!</v>
      </c>
      <c r="S31" s="41" t="e">
        <f>IF(AND(Table156[[#This Row],[Rising Through Threshold2]],R30&gt;0),R31-R30,"")</f>
        <v>#DIV/0!</v>
      </c>
      <c r="T31" s="41" t="e">
        <f>IF(Table156[[#This Row],[Voltage2]]&gt;Threshold2,1,0)</f>
        <v>#DIV/0!</v>
      </c>
      <c r="U31" s="41" t="e">
        <f>AND(Table156[[#This Row],[Last2]]&gt;0,Table156[[#This Row],[Last2]]&lt;MAX(Table156[Last2]))</f>
        <v>#DIV/0!</v>
      </c>
      <c r="V31" s="41" t="b">
        <f>OR('Data In'!B37&gt;'Data In'!B36)</f>
        <v>1</v>
      </c>
      <c r="W31" s="41">
        <f>COUNTIF($V$2:V31,"false")</f>
        <v>1</v>
      </c>
      <c r="X31" s="57"/>
      <c r="Z31" s="13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5"/>
    </row>
    <row r="32" spans="1:39" x14ac:dyDescent="0.45">
      <c r="A32" s="1" t="s">
        <v>50</v>
      </c>
      <c r="B32" s="1">
        <f t="shared" si="2"/>
        <v>6</v>
      </c>
      <c r="C32" s="1">
        <f t="shared" ref="C32:E47" si="6">FIND(":",$A32,B32+1)</f>
        <v>11</v>
      </c>
      <c r="D32" s="1">
        <f t="shared" si="6"/>
        <v>16</v>
      </c>
      <c r="E32" s="1" t="e">
        <f t="shared" si="6"/>
        <v>#VALUE!</v>
      </c>
      <c r="F32" s="3">
        <f>IF(Table156[[#This Row],[seq]]&gt;=Table156[[#Totals],[seq]],'Data In'!B38,"")</f>
        <v>784.8</v>
      </c>
      <c r="G32" s="4">
        <f>'Data In'!C38</f>
        <v>0.56999999999999995</v>
      </c>
      <c r="H32" s="3" t="e">
        <f t="shared" si="4"/>
        <v>#VALUE!</v>
      </c>
      <c r="I32" s="1" t="b">
        <f t="shared" ref="I32:I44" si="7">AND(G31&lt;Threshold,G32&gt;Threshold)</f>
        <v>0</v>
      </c>
      <c r="J32" s="1">
        <f>IF(Table156[[#This Row],[Rising Through Threshold]],Table156[[#This Row],[Start time]],J31)</f>
        <v>235.44</v>
      </c>
      <c r="K32" s="1" t="str">
        <f>IF(AND(Table156[[#This Row],[Rising Through Threshold]],J31&gt;0),J32-J31,"")</f>
        <v/>
      </c>
      <c r="L32" s="1">
        <f>IF(Table156[[#This Row],[Voltage]]&gt;Threshold,1,0)</f>
        <v>0</v>
      </c>
      <c r="M32" s="1" t="b">
        <f>AND(Table156[[#This Row],[Last]]&gt;0,Table156[[#This Row],[Last]]&lt;MAX(Table156[Last]))</f>
        <v>1</v>
      </c>
      <c r="N32" s="41" t="str">
        <f>'Data In'!D38</f>
        <v>a</v>
      </c>
      <c r="O32" s="41" t="str">
        <f>'Data In'!E38</f>
        <v>a</v>
      </c>
      <c r="P32" s="41" t="e">
        <f t="shared" si="5"/>
        <v>#VALUE!</v>
      </c>
      <c r="Q32" s="41" t="e">
        <f t="shared" si="1"/>
        <v>#DIV/0!</v>
      </c>
      <c r="R32" s="41" t="e">
        <f>IF(Table156[[#This Row],[Rising Through Threshold2]],Table156[[#This Row],[Start time2]],R31)</f>
        <v>#DIV/0!</v>
      </c>
      <c r="S32" s="41" t="e">
        <f>IF(AND(Table156[[#This Row],[Rising Through Threshold2]],R31&gt;0),R32-R31,"")</f>
        <v>#DIV/0!</v>
      </c>
      <c r="T32" s="41" t="e">
        <f>IF(Table156[[#This Row],[Voltage2]]&gt;Threshold2,1,0)</f>
        <v>#DIV/0!</v>
      </c>
      <c r="U32" s="41" t="e">
        <f>AND(Table156[[#This Row],[Last2]]&gt;0,Table156[[#This Row],[Last2]]&lt;MAX(Table156[Last2]))</f>
        <v>#DIV/0!</v>
      </c>
      <c r="V32" s="41" t="b">
        <f>OR('Data In'!B38&gt;'Data In'!B37)</f>
        <v>1</v>
      </c>
      <c r="W32" s="41">
        <f>COUNTIF($V$2:V32,"false")</f>
        <v>1</v>
      </c>
      <c r="X32" s="57"/>
    </row>
    <row r="33" spans="1:29" x14ac:dyDescent="0.45">
      <c r="A33" s="1" t="s">
        <v>51</v>
      </c>
      <c r="B33" s="1">
        <f t="shared" si="2"/>
        <v>6</v>
      </c>
      <c r="C33" s="1">
        <f t="shared" si="6"/>
        <v>11</v>
      </c>
      <c r="D33" s="1">
        <f t="shared" si="6"/>
        <v>16</v>
      </c>
      <c r="E33" s="1" t="e">
        <f t="shared" si="6"/>
        <v>#VALUE!</v>
      </c>
      <c r="F33" s="3">
        <f>IF(Table156[[#This Row],[seq]]&gt;=Table156[[#Totals],[seq]],'Data In'!B39,"")</f>
        <v>810.96</v>
      </c>
      <c r="G33" s="4">
        <f>'Data In'!C39</f>
        <v>0.73</v>
      </c>
      <c r="H33" s="3" t="e">
        <f t="shared" si="4"/>
        <v>#VALUE!</v>
      </c>
      <c r="I33" s="1" t="b">
        <f t="shared" si="7"/>
        <v>0</v>
      </c>
      <c r="J33" s="1">
        <f>IF(Table156[[#This Row],[Rising Through Threshold]],Table156[[#This Row],[Start time]],J32)</f>
        <v>235.44</v>
      </c>
      <c r="K33" s="1" t="str">
        <f>IF(AND(Table156[[#This Row],[Rising Through Threshold]],J32&gt;0),J33-J32,"")</f>
        <v/>
      </c>
      <c r="L33" s="1">
        <f>IF(Table156[[#This Row],[Voltage]]&gt;Threshold,1,0)</f>
        <v>0</v>
      </c>
      <c r="M33" s="1" t="b">
        <f>AND(Table156[[#This Row],[Last]]&gt;0,Table156[[#This Row],[Last]]&lt;MAX(Table156[Last]))</f>
        <v>1</v>
      </c>
      <c r="N33" s="41" t="str">
        <f>'Data In'!D39</f>
        <v>a</v>
      </c>
      <c r="O33" s="41" t="str">
        <f>'Data In'!E39</f>
        <v>a</v>
      </c>
      <c r="P33" s="41" t="e">
        <f t="shared" si="5"/>
        <v>#VALUE!</v>
      </c>
      <c r="Q33" s="41" t="e">
        <f t="shared" si="1"/>
        <v>#DIV/0!</v>
      </c>
      <c r="R33" s="41" t="e">
        <f>IF(Table156[[#This Row],[Rising Through Threshold2]],Table156[[#This Row],[Start time2]],R32)</f>
        <v>#DIV/0!</v>
      </c>
      <c r="S33" s="41" t="e">
        <f>IF(AND(Table156[[#This Row],[Rising Through Threshold2]],R32&gt;0),R33-R32,"")</f>
        <v>#DIV/0!</v>
      </c>
      <c r="T33" s="41" t="e">
        <f>IF(Table156[[#This Row],[Voltage2]]&gt;Threshold2,1,0)</f>
        <v>#DIV/0!</v>
      </c>
      <c r="U33" s="41" t="e">
        <f>AND(Table156[[#This Row],[Last2]]&gt;0,Table156[[#This Row],[Last2]]&lt;MAX(Table156[Last2]))</f>
        <v>#DIV/0!</v>
      </c>
      <c r="V33" s="41" t="b">
        <f>OR('Data In'!B39&gt;'Data In'!B38)</f>
        <v>1</v>
      </c>
      <c r="W33" s="41">
        <f>COUNTIF($V$2:V33,"false")</f>
        <v>1</v>
      </c>
      <c r="X33" s="57"/>
      <c r="AA33" t="s">
        <v>866</v>
      </c>
      <c r="AB33" s="59">
        <v>4000</v>
      </c>
      <c r="AC33" t="s">
        <v>872</v>
      </c>
    </row>
    <row r="34" spans="1:29" x14ac:dyDescent="0.45">
      <c r="A34" s="1" t="s">
        <v>52</v>
      </c>
      <c r="B34" s="1">
        <f t="shared" si="2"/>
        <v>6</v>
      </c>
      <c r="C34" s="1">
        <f t="shared" si="6"/>
        <v>11</v>
      </c>
      <c r="D34" s="1">
        <f t="shared" si="6"/>
        <v>16</v>
      </c>
      <c r="E34" s="1" t="e">
        <f t="shared" si="6"/>
        <v>#VALUE!</v>
      </c>
      <c r="F34" s="3">
        <f>IF(Table156[[#This Row],[seq]]&gt;=Table156[[#Totals],[seq]],'Data In'!B40,"")</f>
        <v>837.12</v>
      </c>
      <c r="G34" s="4">
        <f>'Data In'!C40</f>
        <v>0.96</v>
      </c>
      <c r="H34" s="3" t="e">
        <f t="shared" si="4"/>
        <v>#VALUE!</v>
      </c>
      <c r="I34" s="1" t="b">
        <f t="shared" si="7"/>
        <v>0</v>
      </c>
      <c r="J34" s="1">
        <f>IF(Table156[[#This Row],[Rising Through Threshold]],Table156[[#This Row],[Start time]],J33)</f>
        <v>235.44</v>
      </c>
      <c r="K34" s="1" t="str">
        <f>IF(AND(Table156[[#This Row],[Rising Through Threshold]],J33&gt;0),J34-J33,"")</f>
        <v/>
      </c>
      <c r="L34" s="1">
        <f>IF(Table156[[#This Row],[Voltage]]&gt;Threshold,1,0)</f>
        <v>0</v>
      </c>
      <c r="M34" s="1" t="b">
        <f>AND(Table156[[#This Row],[Last]]&gt;0,Table156[[#This Row],[Last]]&lt;MAX(Table156[Last]))</f>
        <v>1</v>
      </c>
      <c r="N34" s="41" t="str">
        <f>'Data In'!D40</f>
        <v>a</v>
      </c>
      <c r="O34" s="41" t="str">
        <f>'Data In'!E40</f>
        <v>a</v>
      </c>
      <c r="P34" s="41" t="e">
        <f t="shared" si="5"/>
        <v>#VALUE!</v>
      </c>
      <c r="Q34" s="41" t="e">
        <f t="shared" ref="Q34:Q65" si="8">AND(O33&lt;Threshold2,O34&gt;Threshold2)</f>
        <v>#DIV/0!</v>
      </c>
      <c r="R34" s="41" t="e">
        <f>IF(Table156[[#This Row],[Rising Through Threshold2]],Table156[[#This Row],[Start time2]],R33)</f>
        <v>#DIV/0!</v>
      </c>
      <c r="S34" s="41" t="e">
        <f>IF(AND(Table156[[#This Row],[Rising Through Threshold2]],R33&gt;0),R34-R33,"")</f>
        <v>#DIV/0!</v>
      </c>
      <c r="T34" s="41" t="e">
        <f>IF(Table156[[#This Row],[Voltage2]]&gt;Threshold2,1,0)</f>
        <v>#DIV/0!</v>
      </c>
      <c r="U34" s="41" t="e">
        <f>AND(Table156[[#This Row],[Last2]]&gt;0,Table156[[#This Row],[Last2]]&lt;MAX(Table156[Last2]))</f>
        <v>#DIV/0!</v>
      </c>
      <c r="V34" s="41" t="b">
        <f>OR('Data In'!B40&gt;'Data In'!B39)</f>
        <v>1</v>
      </c>
      <c r="W34" s="41">
        <f>COUNTIF($V$2:V34,"false")</f>
        <v>1</v>
      </c>
      <c r="X34" s="57"/>
      <c r="AA34" t="s">
        <v>870</v>
      </c>
      <c r="AB34" s="59">
        <v>5</v>
      </c>
      <c r="AC34" t="s">
        <v>875</v>
      </c>
    </row>
    <row r="35" spans="1:29" x14ac:dyDescent="0.45">
      <c r="A35" s="1" t="s">
        <v>53</v>
      </c>
      <c r="B35" s="1">
        <f t="shared" si="2"/>
        <v>6</v>
      </c>
      <c r="C35" s="1">
        <f t="shared" si="6"/>
        <v>11</v>
      </c>
      <c r="D35" s="1">
        <f t="shared" si="6"/>
        <v>16</v>
      </c>
      <c r="E35" s="1" t="e">
        <f t="shared" si="6"/>
        <v>#VALUE!</v>
      </c>
      <c r="F35" s="3">
        <f>IF(Table156[[#This Row],[seq]]&gt;=Table156[[#Totals],[seq]],'Data In'!B41,"")</f>
        <v>863.28</v>
      </c>
      <c r="G35" s="4">
        <f>'Data In'!C41</f>
        <v>1.22</v>
      </c>
      <c r="H35" s="3" t="e">
        <f t="shared" si="4"/>
        <v>#VALUE!</v>
      </c>
      <c r="I35" s="1" t="b">
        <f t="shared" si="7"/>
        <v>0</v>
      </c>
      <c r="J35" s="1">
        <f>IF(Table156[[#This Row],[Rising Through Threshold]],Table156[[#This Row],[Start time]],J34)</f>
        <v>235.44</v>
      </c>
      <c r="K35" s="1" t="str">
        <f>IF(AND(Table156[[#This Row],[Rising Through Threshold]],J34&gt;0),J35-J34,"")</f>
        <v/>
      </c>
      <c r="L35" s="1">
        <f>IF(Table156[[#This Row],[Voltage]]&gt;Threshold,1,0)</f>
        <v>0</v>
      </c>
      <c r="M35" s="1" t="b">
        <f>AND(Table156[[#This Row],[Last]]&gt;0,Table156[[#This Row],[Last]]&lt;MAX(Table156[Last]))</f>
        <v>1</v>
      </c>
      <c r="N35" s="41" t="str">
        <f>'Data In'!D41</f>
        <v>a</v>
      </c>
      <c r="O35" s="41" t="str">
        <f>'Data In'!E41</f>
        <v>a</v>
      </c>
      <c r="P35" s="41" t="e">
        <f t="shared" si="5"/>
        <v>#VALUE!</v>
      </c>
      <c r="Q35" s="41" t="e">
        <f t="shared" si="8"/>
        <v>#DIV/0!</v>
      </c>
      <c r="R35" s="41" t="e">
        <f>IF(Table156[[#This Row],[Rising Through Threshold2]],Table156[[#This Row],[Start time2]],R34)</f>
        <v>#DIV/0!</v>
      </c>
      <c r="S35" s="41" t="e">
        <f>IF(AND(Table156[[#This Row],[Rising Through Threshold2]],R34&gt;0),R35-R34,"")</f>
        <v>#DIV/0!</v>
      </c>
      <c r="T35" s="41" t="e">
        <f>IF(Table156[[#This Row],[Voltage2]]&gt;Threshold2,1,0)</f>
        <v>#DIV/0!</v>
      </c>
      <c r="U35" s="41" t="e">
        <f>AND(Table156[[#This Row],[Last2]]&gt;0,Table156[[#This Row],[Last2]]&lt;MAX(Table156[Last2]))</f>
        <v>#DIV/0!</v>
      </c>
      <c r="V35" s="41" t="b">
        <f>OR('Data In'!B41&gt;'Data In'!B40)</f>
        <v>1</v>
      </c>
      <c r="W35" s="41">
        <f>COUNTIF($V$2:V35,"false")</f>
        <v>1</v>
      </c>
      <c r="X35" s="57"/>
    </row>
    <row r="36" spans="1:29" x14ac:dyDescent="0.45">
      <c r="A36" s="1" t="s">
        <v>54</v>
      </c>
      <c r="B36" s="1">
        <f t="shared" si="2"/>
        <v>6</v>
      </c>
      <c r="C36" s="1">
        <f t="shared" si="6"/>
        <v>11</v>
      </c>
      <c r="D36" s="1">
        <f t="shared" si="6"/>
        <v>16</v>
      </c>
      <c r="E36" s="1" t="e">
        <f t="shared" si="6"/>
        <v>#VALUE!</v>
      </c>
      <c r="F36" s="3">
        <f>IF(Table156[[#This Row],[seq]]&gt;=Table156[[#Totals],[seq]],'Data In'!B42,"")</f>
        <v>889.44</v>
      </c>
      <c r="G36" s="4">
        <f>'Data In'!C42</f>
        <v>1.49</v>
      </c>
      <c r="H36" s="3" t="e">
        <f t="shared" si="4"/>
        <v>#VALUE!</v>
      </c>
      <c r="I36" s="1" t="b">
        <f t="shared" si="7"/>
        <v>0</v>
      </c>
      <c r="J36" s="1">
        <f>IF(Table156[[#This Row],[Rising Through Threshold]],Table156[[#This Row],[Start time]],J35)</f>
        <v>235.44</v>
      </c>
      <c r="K36" s="1" t="str">
        <f>IF(AND(Table156[[#This Row],[Rising Through Threshold]],J35&gt;0),J36-J35,"")</f>
        <v/>
      </c>
      <c r="L36" s="1">
        <f>IF(Table156[[#This Row],[Voltage]]&gt;Threshold,1,0)</f>
        <v>0</v>
      </c>
      <c r="M36" s="1" t="b">
        <f>AND(Table156[[#This Row],[Last]]&gt;0,Table156[[#This Row],[Last]]&lt;MAX(Table156[Last]))</f>
        <v>1</v>
      </c>
      <c r="N36" s="41" t="str">
        <f>'Data In'!D42</f>
        <v>a</v>
      </c>
      <c r="O36" s="41" t="str">
        <f>'Data In'!E42</f>
        <v>a</v>
      </c>
      <c r="P36" s="41" t="e">
        <f t="shared" si="5"/>
        <v>#VALUE!</v>
      </c>
      <c r="Q36" s="41" t="e">
        <f t="shared" si="8"/>
        <v>#DIV/0!</v>
      </c>
      <c r="R36" s="41" t="e">
        <f>IF(Table156[[#This Row],[Rising Through Threshold2]],Table156[[#This Row],[Start time2]],R35)</f>
        <v>#DIV/0!</v>
      </c>
      <c r="S36" s="41" t="e">
        <f>IF(AND(Table156[[#This Row],[Rising Through Threshold2]],R35&gt;0),R36-R35,"")</f>
        <v>#DIV/0!</v>
      </c>
      <c r="T36" s="41" t="e">
        <f>IF(Table156[[#This Row],[Voltage2]]&gt;Threshold2,1,0)</f>
        <v>#DIV/0!</v>
      </c>
      <c r="U36" s="41" t="e">
        <f>AND(Table156[[#This Row],[Last2]]&gt;0,Table156[[#This Row],[Last2]]&lt;MAX(Table156[Last2]))</f>
        <v>#DIV/0!</v>
      </c>
      <c r="V36" s="41" t="b">
        <f>OR('Data In'!B42&gt;'Data In'!B41)</f>
        <v>1</v>
      </c>
      <c r="W36" s="41">
        <f>COUNTIF($V$2:V36,"false")</f>
        <v>1</v>
      </c>
      <c r="X36" s="57"/>
    </row>
    <row r="37" spans="1:29" x14ac:dyDescent="0.45">
      <c r="A37" s="1" t="s">
        <v>55</v>
      </c>
      <c r="B37" s="1">
        <f t="shared" si="2"/>
        <v>6</v>
      </c>
      <c r="C37" s="1">
        <f t="shared" si="6"/>
        <v>11</v>
      </c>
      <c r="D37" s="1">
        <f t="shared" si="6"/>
        <v>16</v>
      </c>
      <c r="E37" s="1" t="e">
        <f t="shared" si="6"/>
        <v>#VALUE!</v>
      </c>
      <c r="F37" s="3">
        <f>IF(Table156[[#This Row],[seq]]&gt;=Table156[[#Totals],[seq]],'Data In'!B43,"")</f>
        <v>915.6</v>
      </c>
      <c r="G37" s="4">
        <f>'Data In'!C43</f>
        <v>1.75</v>
      </c>
      <c r="H37" s="3" t="e">
        <f t="shared" si="4"/>
        <v>#VALUE!</v>
      </c>
      <c r="I37" s="1" t="b">
        <f t="shared" si="7"/>
        <v>0</v>
      </c>
      <c r="J37" s="1">
        <f>IF(Table156[[#This Row],[Rising Through Threshold]],Table156[[#This Row],[Start time]],J36)</f>
        <v>235.44</v>
      </c>
      <c r="K37" s="1" t="str">
        <f>IF(AND(Table156[[#This Row],[Rising Through Threshold]],J36&gt;0),J37-J36,"")</f>
        <v/>
      </c>
      <c r="L37" s="1">
        <f>IF(Table156[[#This Row],[Voltage]]&gt;Threshold,1,0)</f>
        <v>0</v>
      </c>
      <c r="M37" s="1" t="b">
        <f>AND(Table156[[#This Row],[Last]]&gt;0,Table156[[#This Row],[Last]]&lt;MAX(Table156[Last]))</f>
        <v>1</v>
      </c>
      <c r="N37" s="41" t="str">
        <f>'Data In'!D43</f>
        <v>a</v>
      </c>
      <c r="O37" s="41" t="str">
        <f>'Data In'!E43</f>
        <v>a</v>
      </c>
      <c r="P37" s="41" t="e">
        <f t="shared" si="5"/>
        <v>#VALUE!</v>
      </c>
      <c r="Q37" s="41" t="e">
        <f t="shared" si="8"/>
        <v>#DIV/0!</v>
      </c>
      <c r="R37" s="41" t="e">
        <f>IF(Table156[[#This Row],[Rising Through Threshold2]],Table156[[#This Row],[Start time2]],R36)</f>
        <v>#DIV/0!</v>
      </c>
      <c r="S37" s="41" t="e">
        <f>IF(AND(Table156[[#This Row],[Rising Through Threshold2]],R36&gt;0),R37-R36,"")</f>
        <v>#DIV/0!</v>
      </c>
      <c r="T37" s="41" t="e">
        <f>IF(Table156[[#This Row],[Voltage2]]&gt;Threshold2,1,0)</f>
        <v>#DIV/0!</v>
      </c>
      <c r="U37" s="41" t="e">
        <f>AND(Table156[[#This Row],[Last2]]&gt;0,Table156[[#This Row],[Last2]]&lt;MAX(Table156[Last2]))</f>
        <v>#DIV/0!</v>
      </c>
      <c r="V37" s="41" t="b">
        <f>OR('Data In'!B43&gt;'Data In'!B42)</f>
        <v>1</v>
      </c>
      <c r="W37" s="41">
        <f>COUNTIF($V$2:V37,"false")</f>
        <v>1</v>
      </c>
      <c r="X37" s="57"/>
    </row>
    <row r="38" spans="1:29" x14ac:dyDescent="0.45">
      <c r="A38" s="1" t="s">
        <v>56</v>
      </c>
      <c r="B38" s="1">
        <f t="shared" si="2"/>
        <v>6</v>
      </c>
      <c r="C38" s="1">
        <f t="shared" si="6"/>
        <v>11</v>
      </c>
      <c r="D38" s="1">
        <f t="shared" si="6"/>
        <v>16</v>
      </c>
      <c r="E38" s="1" t="e">
        <f t="shared" si="6"/>
        <v>#VALUE!</v>
      </c>
      <c r="F38" s="3">
        <f>IF(Table156[[#This Row],[seq]]&gt;=Table156[[#Totals],[seq]],'Data In'!B44,"")</f>
        <v>941.76</v>
      </c>
      <c r="G38" s="4">
        <f>'Data In'!C44</f>
        <v>2</v>
      </c>
      <c r="H38" s="3" t="e">
        <f t="shared" si="4"/>
        <v>#VALUE!</v>
      </c>
      <c r="I38" s="1" t="b">
        <f t="shared" si="7"/>
        <v>0</v>
      </c>
      <c r="J38" s="1">
        <f>IF(Table156[[#This Row],[Rising Through Threshold]],Table156[[#This Row],[Start time]],J37)</f>
        <v>235.44</v>
      </c>
      <c r="K38" s="1" t="str">
        <f>IF(AND(Table156[[#This Row],[Rising Through Threshold]],J37&gt;0),J38-J37,"")</f>
        <v/>
      </c>
      <c r="L38" s="1">
        <f>IF(Table156[[#This Row],[Voltage]]&gt;Threshold,1,0)</f>
        <v>0</v>
      </c>
      <c r="M38" s="1" t="b">
        <f>AND(Table156[[#This Row],[Last]]&gt;0,Table156[[#This Row],[Last]]&lt;MAX(Table156[Last]))</f>
        <v>1</v>
      </c>
      <c r="N38" s="41" t="str">
        <f>'Data In'!D44</f>
        <v>a</v>
      </c>
      <c r="O38" s="41" t="str">
        <f>'Data In'!E44</f>
        <v>a</v>
      </c>
      <c r="P38" s="41" t="e">
        <f t="shared" si="5"/>
        <v>#VALUE!</v>
      </c>
      <c r="Q38" s="41" t="e">
        <f t="shared" si="8"/>
        <v>#DIV/0!</v>
      </c>
      <c r="R38" s="41" t="e">
        <f>IF(Table156[[#This Row],[Rising Through Threshold2]],Table156[[#This Row],[Start time2]],R37)</f>
        <v>#DIV/0!</v>
      </c>
      <c r="S38" s="41" t="e">
        <f>IF(AND(Table156[[#This Row],[Rising Through Threshold2]],R37&gt;0),R38-R37,"")</f>
        <v>#DIV/0!</v>
      </c>
      <c r="T38" s="41" t="e">
        <f>IF(Table156[[#This Row],[Voltage2]]&gt;Threshold2,1,0)</f>
        <v>#DIV/0!</v>
      </c>
      <c r="U38" s="41" t="e">
        <f>AND(Table156[[#This Row],[Last2]]&gt;0,Table156[[#This Row],[Last2]]&lt;MAX(Table156[Last2]))</f>
        <v>#DIV/0!</v>
      </c>
      <c r="V38" s="41" t="b">
        <f>OR('Data In'!B44&gt;'Data In'!B43)</f>
        <v>1</v>
      </c>
      <c r="W38" s="41">
        <f>COUNTIF($V$2:V38,"false")</f>
        <v>1</v>
      </c>
      <c r="X38" s="57"/>
    </row>
    <row r="39" spans="1:29" x14ac:dyDescent="0.45">
      <c r="A39" s="1" t="s">
        <v>57</v>
      </c>
      <c r="B39" s="1">
        <f t="shared" si="2"/>
        <v>6</v>
      </c>
      <c r="C39" s="1">
        <f t="shared" si="6"/>
        <v>11</v>
      </c>
      <c r="D39" s="1">
        <f t="shared" si="6"/>
        <v>16</v>
      </c>
      <c r="E39" s="1" t="e">
        <f t="shared" si="6"/>
        <v>#VALUE!</v>
      </c>
      <c r="F39" s="3">
        <f>IF(Table156[[#This Row],[seq]]&gt;=Table156[[#Totals],[seq]],'Data In'!B45,"")</f>
        <v>967.92</v>
      </c>
      <c r="G39" s="4">
        <f>'Data In'!C45</f>
        <v>2.2400000000000002</v>
      </c>
      <c r="H39" s="3" t="e">
        <f t="shared" si="4"/>
        <v>#VALUE!</v>
      </c>
      <c r="I39" s="1" t="b">
        <f t="shared" si="7"/>
        <v>0</v>
      </c>
      <c r="J39" s="1">
        <f>IF(Table156[[#This Row],[Rising Through Threshold]],Table156[[#This Row],[Start time]],J38)</f>
        <v>235.44</v>
      </c>
      <c r="K39" s="1" t="str">
        <f>IF(AND(Table156[[#This Row],[Rising Through Threshold]],J38&gt;0),J39-J38,"")</f>
        <v/>
      </c>
      <c r="L39" s="1">
        <f>IF(Table156[[#This Row],[Voltage]]&gt;Threshold,1,0)</f>
        <v>0</v>
      </c>
      <c r="M39" s="1" t="b">
        <f>AND(Table156[[#This Row],[Last]]&gt;0,Table156[[#This Row],[Last]]&lt;MAX(Table156[Last]))</f>
        <v>1</v>
      </c>
      <c r="N39" s="41" t="str">
        <f>'Data In'!D45</f>
        <v>a</v>
      </c>
      <c r="O39" s="41" t="str">
        <f>'Data In'!E45</f>
        <v>a</v>
      </c>
      <c r="P39" s="41" t="e">
        <f t="shared" si="5"/>
        <v>#VALUE!</v>
      </c>
      <c r="Q39" s="41" t="e">
        <f t="shared" si="8"/>
        <v>#DIV/0!</v>
      </c>
      <c r="R39" s="41" t="e">
        <f>IF(Table156[[#This Row],[Rising Through Threshold2]],Table156[[#This Row],[Start time2]],R38)</f>
        <v>#DIV/0!</v>
      </c>
      <c r="S39" s="41" t="e">
        <f>IF(AND(Table156[[#This Row],[Rising Through Threshold2]],R38&gt;0),R39-R38,"")</f>
        <v>#DIV/0!</v>
      </c>
      <c r="T39" s="41" t="e">
        <f>IF(Table156[[#This Row],[Voltage2]]&gt;Threshold2,1,0)</f>
        <v>#DIV/0!</v>
      </c>
      <c r="U39" s="41" t="e">
        <f>AND(Table156[[#This Row],[Last2]]&gt;0,Table156[[#This Row],[Last2]]&lt;MAX(Table156[Last2]))</f>
        <v>#DIV/0!</v>
      </c>
      <c r="V39" s="41" t="b">
        <f>OR('Data In'!B45&gt;'Data In'!B44)</f>
        <v>1</v>
      </c>
      <c r="W39" s="41">
        <f>COUNTIF($V$2:V39,"false")</f>
        <v>1</v>
      </c>
      <c r="X39" s="57"/>
    </row>
    <row r="40" spans="1:29" x14ac:dyDescent="0.45">
      <c r="A40" s="1" t="s">
        <v>58</v>
      </c>
      <c r="B40" s="1">
        <f t="shared" si="2"/>
        <v>6</v>
      </c>
      <c r="C40" s="1">
        <f t="shared" si="6"/>
        <v>11</v>
      </c>
      <c r="D40" s="1">
        <f t="shared" si="6"/>
        <v>16</v>
      </c>
      <c r="E40" s="1" t="e">
        <f t="shared" si="6"/>
        <v>#VALUE!</v>
      </c>
      <c r="F40" s="3">
        <f>IF(Table156[[#This Row],[seq]]&gt;=Table156[[#Totals],[seq]],'Data In'!B46,"")</f>
        <v>994.8</v>
      </c>
      <c r="G40" s="4">
        <f>'Data In'!C46</f>
        <v>2.4500000000000002</v>
      </c>
      <c r="H40" s="3" t="e">
        <f t="shared" si="4"/>
        <v>#VALUE!</v>
      </c>
      <c r="I40" s="1" t="b">
        <f t="shared" si="7"/>
        <v>1</v>
      </c>
      <c r="J40" s="1">
        <f>IF(Table156[[#This Row],[Rising Through Threshold]],Table156[[#This Row],[Start time]],J39)</f>
        <v>994.8</v>
      </c>
      <c r="K40" s="1">
        <f>IF(AND(Table156[[#This Row],[Rising Through Threshold]],J39&gt;0),J40-J39,"")</f>
        <v>759.3599999999999</v>
      </c>
      <c r="L40" s="1">
        <f>IF(Table156[[#This Row],[Voltage]]&gt;Threshold,1,0)</f>
        <v>1</v>
      </c>
      <c r="M40" s="1" t="b">
        <f>AND(Table156[[#This Row],[Last]]&gt;0,Table156[[#This Row],[Last]]&lt;MAX(Table156[Last]))</f>
        <v>1</v>
      </c>
      <c r="N40" s="41" t="str">
        <f>'Data In'!D46</f>
        <v>a</v>
      </c>
      <c r="O40" s="41" t="str">
        <f>'Data In'!E46</f>
        <v>a</v>
      </c>
      <c r="P40" s="41">
        <f t="shared" si="5"/>
        <v>0</v>
      </c>
      <c r="Q40" s="41" t="e">
        <f t="shared" si="8"/>
        <v>#DIV/0!</v>
      </c>
      <c r="R40" s="41" t="e">
        <f>IF(Table156[[#This Row],[Rising Through Threshold2]],Table156[[#This Row],[Start time2]],R39)</f>
        <v>#DIV/0!</v>
      </c>
      <c r="S40" s="41" t="e">
        <f>IF(AND(Table156[[#This Row],[Rising Through Threshold2]],R39&gt;0),R40-R39,"")</f>
        <v>#DIV/0!</v>
      </c>
      <c r="T40" s="41" t="e">
        <f>IF(Table156[[#This Row],[Voltage2]]&gt;Threshold2,1,0)</f>
        <v>#DIV/0!</v>
      </c>
      <c r="U40" s="41" t="e">
        <f>AND(Table156[[#This Row],[Last2]]&gt;0,Table156[[#This Row],[Last2]]&lt;MAX(Table156[Last2]))</f>
        <v>#DIV/0!</v>
      </c>
      <c r="V40" s="41" t="b">
        <f>OR('Data In'!B46&gt;'Data In'!B45)</f>
        <v>1</v>
      </c>
      <c r="W40" s="41">
        <f>COUNTIF($V$2:V40,"false")</f>
        <v>1</v>
      </c>
      <c r="X40" s="57"/>
    </row>
    <row r="41" spans="1:29" x14ac:dyDescent="0.45">
      <c r="A41" s="1" t="s">
        <v>59</v>
      </c>
      <c r="B41" s="1">
        <f t="shared" si="2"/>
        <v>6</v>
      </c>
      <c r="C41" s="1">
        <f t="shared" si="6"/>
        <v>11</v>
      </c>
      <c r="D41" s="1">
        <f t="shared" si="6"/>
        <v>16</v>
      </c>
      <c r="E41" s="1" t="e">
        <f t="shared" si="6"/>
        <v>#VALUE!</v>
      </c>
      <c r="F41" s="3">
        <f>IF(Table156[[#This Row],[seq]]&gt;=Table156[[#Totals],[seq]],'Data In'!B47,"")</f>
        <v>1020.24</v>
      </c>
      <c r="G41" s="4">
        <f>'Data In'!C47</f>
        <v>2.65</v>
      </c>
      <c r="H41" s="3" t="e">
        <f t="shared" si="4"/>
        <v>#VALUE!</v>
      </c>
      <c r="I41" s="1" t="b">
        <f t="shared" si="7"/>
        <v>0</v>
      </c>
      <c r="J41" s="1">
        <f>IF(Table156[[#This Row],[Rising Through Threshold]],Table156[[#This Row],[Start time]],J40)</f>
        <v>994.8</v>
      </c>
      <c r="K41" s="1" t="str">
        <f>IF(AND(Table156[[#This Row],[Rising Through Threshold]],J40&gt;0),J41-J40,"")</f>
        <v/>
      </c>
      <c r="L41" s="1">
        <f>IF(Table156[[#This Row],[Voltage]]&gt;Threshold,1,0)</f>
        <v>1</v>
      </c>
      <c r="M41" s="1" t="b">
        <f>AND(Table156[[#This Row],[Last]]&gt;0,Table156[[#This Row],[Last]]&lt;MAX(Table156[Last]))</f>
        <v>1</v>
      </c>
      <c r="N41" s="41" t="str">
        <f>'Data In'!D47</f>
        <v>a</v>
      </c>
      <c r="O41" s="41" t="str">
        <f>'Data In'!E47</f>
        <v>a</v>
      </c>
      <c r="P41" s="41" t="e">
        <f t="shared" si="5"/>
        <v>#VALUE!</v>
      </c>
      <c r="Q41" s="41" t="e">
        <f t="shared" si="8"/>
        <v>#DIV/0!</v>
      </c>
      <c r="R41" s="41" t="e">
        <f>IF(Table156[[#This Row],[Rising Through Threshold2]],Table156[[#This Row],[Start time2]],R40)</f>
        <v>#DIV/0!</v>
      </c>
      <c r="S41" s="41" t="e">
        <f>IF(AND(Table156[[#This Row],[Rising Through Threshold2]],R40&gt;0),R41-R40,"")</f>
        <v>#DIV/0!</v>
      </c>
      <c r="T41" s="41" t="e">
        <f>IF(Table156[[#This Row],[Voltage2]]&gt;Threshold2,1,0)</f>
        <v>#DIV/0!</v>
      </c>
      <c r="U41" s="41" t="e">
        <f>AND(Table156[[#This Row],[Last2]]&gt;0,Table156[[#This Row],[Last2]]&lt;MAX(Table156[Last2]))</f>
        <v>#DIV/0!</v>
      </c>
      <c r="V41" s="41" t="b">
        <f>OR('Data In'!B47&gt;'Data In'!B46)</f>
        <v>1</v>
      </c>
      <c r="W41" s="41">
        <f>COUNTIF($V$2:V41,"false")</f>
        <v>1</v>
      </c>
      <c r="X41" s="57"/>
    </row>
    <row r="42" spans="1:29" x14ac:dyDescent="0.45">
      <c r="A42" s="1" t="s">
        <v>60</v>
      </c>
      <c r="B42" s="1">
        <f t="shared" si="2"/>
        <v>6</v>
      </c>
      <c r="C42" s="1">
        <f t="shared" si="6"/>
        <v>11</v>
      </c>
      <c r="D42" s="1">
        <f t="shared" si="6"/>
        <v>16</v>
      </c>
      <c r="E42" s="1" t="e">
        <f t="shared" si="6"/>
        <v>#VALUE!</v>
      </c>
      <c r="F42" s="3">
        <f>IF(Table156[[#This Row],[seq]]&gt;=Table156[[#Totals],[seq]],'Data In'!B48,"")</f>
        <v>1046.4000000000001</v>
      </c>
      <c r="G42" s="4">
        <f>'Data In'!C48</f>
        <v>2.82</v>
      </c>
      <c r="H42" s="3" t="e">
        <f t="shared" si="4"/>
        <v>#VALUE!</v>
      </c>
      <c r="I42" s="1" t="b">
        <f t="shared" si="7"/>
        <v>0</v>
      </c>
      <c r="J42" s="1">
        <f>IF(Table156[[#This Row],[Rising Through Threshold]],Table156[[#This Row],[Start time]],J41)</f>
        <v>994.8</v>
      </c>
      <c r="K42" s="1" t="str">
        <f>IF(AND(Table156[[#This Row],[Rising Through Threshold]],J41&gt;0),J42-J41,"")</f>
        <v/>
      </c>
      <c r="L42" s="1">
        <f>IF(Table156[[#This Row],[Voltage]]&gt;Threshold,1,0)</f>
        <v>1</v>
      </c>
      <c r="M42" s="1" t="b">
        <f>AND(Table156[[#This Row],[Last]]&gt;0,Table156[[#This Row],[Last]]&lt;MAX(Table156[Last]))</f>
        <v>1</v>
      </c>
      <c r="N42" s="41" t="str">
        <f>'Data In'!D48</f>
        <v>a</v>
      </c>
      <c r="O42" s="41" t="str">
        <f>'Data In'!E48</f>
        <v>a</v>
      </c>
      <c r="P42" s="41" t="e">
        <f t="shared" si="5"/>
        <v>#VALUE!</v>
      </c>
      <c r="Q42" s="41" t="e">
        <f t="shared" si="8"/>
        <v>#DIV/0!</v>
      </c>
      <c r="R42" s="41" t="e">
        <f>IF(Table156[[#This Row],[Rising Through Threshold2]],Table156[[#This Row],[Start time2]],R41)</f>
        <v>#DIV/0!</v>
      </c>
      <c r="S42" s="41" t="e">
        <f>IF(AND(Table156[[#This Row],[Rising Through Threshold2]],R41&gt;0),R42-R41,"")</f>
        <v>#DIV/0!</v>
      </c>
      <c r="T42" s="41" t="e">
        <f>IF(Table156[[#This Row],[Voltage2]]&gt;Threshold2,1,0)</f>
        <v>#DIV/0!</v>
      </c>
      <c r="U42" s="41" t="e">
        <f>AND(Table156[[#This Row],[Last2]]&gt;0,Table156[[#This Row],[Last2]]&lt;MAX(Table156[Last2]))</f>
        <v>#DIV/0!</v>
      </c>
      <c r="V42" s="41" t="b">
        <f>OR('Data In'!B48&gt;'Data In'!B47)</f>
        <v>1</v>
      </c>
      <c r="W42" s="41">
        <f>COUNTIF($V$2:V42,"false")</f>
        <v>1</v>
      </c>
      <c r="X42" s="57"/>
    </row>
    <row r="43" spans="1:29" x14ac:dyDescent="0.45">
      <c r="A43" s="1" t="s">
        <v>61</v>
      </c>
      <c r="B43" s="1">
        <f t="shared" si="2"/>
        <v>6</v>
      </c>
      <c r="C43" s="1">
        <f t="shared" si="6"/>
        <v>11</v>
      </c>
      <c r="D43" s="1">
        <f t="shared" si="6"/>
        <v>16</v>
      </c>
      <c r="E43" s="1" t="e">
        <f t="shared" si="6"/>
        <v>#VALUE!</v>
      </c>
      <c r="F43" s="3">
        <f>IF(Table156[[#This Row],[seq]]&gt;=Table156[[#Totals],[seq]],'Data In'!B49,"")</f>
        <v>1072.56</v>
      </c>
      <c r="G43" s="4">
        <f>'Data In'!C49</f>
        <v>2.98</v>
      </c>
      <c r="H43" s="3" t="e">
        <f t="shared" si="4"/>
        <v>#VALUE!</v>
      </c>
      <c r="I43" s="1" t="b">
        <f t="shared" si="7"/>
        <v>0</v>
      </c>
      <c r="J43" s="1">
        <f>IF(Table156[[#This Row],[Rising Through Threshold]],Table156[[#This Row],[Start time]],J42)</f>
        <v>994.8</v>
      </c>
      <c r="K43" s="1" t="str">
        <f>IF(AND(Table156[[#This Row],[Rising Through Threshold]],J42&gt;0),J43-J42,"")</f>
        <v/>
      </c>
      <c r="L43" s="1">
        <f>IF(Table156[[#This Row],[Voltage]]&gt;Threshold,1,0)</f>
        <v>1</v>
      </c>
      <c r="M43" s="1" t="b">
        <f>AND(Table156[[#This Row],[Last]]&gt;0,Table156[[#This Row],[Last]]&lt;MAX(Table156[Last]))</f>
        <v>1</v>
      </c>
      <c r="N43" s="41" t="str">
        <f>'Data In'!D49</f>
        <v>a</v>
      </c>
      <c r="O43" s="41" t="str">
        <f>'Data In'!E49</f>
        <v>a</v>
      </c>
      <c r="P43" s="41" t="e">
        <f t="shared" si="5"/>
        <v>#VALUE!</v>
      </c>
      <c r="Q43" s="41" t="e">
        <f t="shared" si="8"/>
        <v>#DIV/0!</v>
      </c>
      <c r="R43" s="41" t="e">
        <f>IF(Table156[[#This Row],[Rising Through Threshold2]],Table156[[#This Row],[Start time2]],R42)</f>
        <v>#DIV/0!</v>
      </c>
      <c r="S43" s="41" t="e">
        <f>IF(AND(Table156[[#This Row],[Rising Through Threshold2]],R42&gt;0),R43-R42,"")</f>
        <v>#DIV/0!</v>
      </c>
      <c r="T43" s="41" t="e">
        <f>IF(Table156[[#This Row],[Voltage2]]&gt;Threshold2,1,0)</f>
        <v>#DIV/0!</v>
      </c>
      <c r="U43" s="41" t="e">
        <f>AND(Table156[[#This Row],[Last2]]&gt;0,Table156[[#This Row],[Last2]]&lt;MAX(Table156[Last2]))</f>
        <v>#DIV/0!</v>
      </c>
      <c r="V43" s="41" t="b">
        <f>OR('Data In'!B49&gt;'Data In'!B48)</f>
        <v>1</v>
      </c>
      <c r="W43" s="41">
        <f>COUNTIF($V$2:V43,"false")</f>
        <v>1</v>
      </c>
      <c r="X43" s="57"/>
    </row>
    <row r="44" spans="1:29" x14ac:dyDescent="0.45">
      <c r="A44" s="1" t="s">
        <v>62</v>
      </c>
      <c r="B44" s="1">
        <f t="shared" si="2"/>
        <v>6</v>
      </c>
      <c r="C44" s="1">
        <f t="shared" si="6"/>
        <v>11</v>
      </c>
      <c r="D44" s="1">
        <f t="shared" si="6"/>
        <v>16</v>
      </c>
      <c r="E44" s="1" t="e">
        <f t="shared" si="6"/>
        <v>#VALUE!</v>
      </c>
      <c r="F44" s="3">
        <f>IF(Table156[[#This Row],[seq]]&gt;=Table156[[#Totals],[seq]],'Data In'!B50,"")</f>
        <v>1098.72</v>
      </c>
      <c r="G44" s="4">
        <f>'Data In'!C50</f>
        <v>3.14</v>
      </c>
      <c r="H44" s="3" t="e">
        <f t="shared" si="4"/>
        <v>#VALUE!</v>
      </c>
      <c r="I44" s="1" t="b">
        <f t="shared" si="7"/>
        <v>0</v>
      </c>
      <c r="J44" s="1">
        <f>IF(Table156[[#This Row],[Rising Through Threshold]],Table156[[#This Row],[Start time]],J43)</f>
        <v>994.8</v>
      </c>
      <c r="K44" s="1" t="str">
        <f>IF(AND(Table156[[#This Row],[Rising Through Threshold]],J43&gt;0),J44-J43,"")</f>
        <v/>
      </c>
      <c r="L44" s="1">
        <f>IF(Table156[[#This Row],[Voltage]]&gt;Threshold,1,0)</f>
        <v>1</v>
      </c>
      <c r="M44" s="1" t="b">
        <f>AND(Table156[[#This Row],[Last]]&gt;0,Table156[[#This Row],[Last]]&lt;MAX(Table156[Last]))</f>
        <v>1</v>
      </c>
      <c r="N44" s="41" t="str">
        <f>'Data In'!D50</f>
        <v>a</v>
      </c>
      <c r="O44" s="41" t="str">
        <f>'Data In'!E50</f>
        <v>a</v>
      </c>
      <c r="P44" s="41" t="e">
        <f t="shared" si="5"/>
        <v>#VALUE!</v>
      </c>
      <c r="Q44" s="41" t="e">
        <f t="shared" si="8"/>
        <v>#DIV/0!</v>
      </c>
      <c r="R44" s="41" t="e">
        <f>IF(Table156[[#This Row],[Rising Through Threshold2]],Table156[[#This Row],[Start time2]],R43)</f>
        <v>#DIV/0!</v>
      </c>
      <c r="S44" s="41" t="e">
        <f>IF(AND(Table156[[#This Row],[Rising Through Threshold2]],R43&gt;0),R44-R43,"")</f>
        <v>#DIV/0!</v>
      </c>
      <c r="T44" s="41" t="e">
        <f>IF(Table156[[#This Row],[Voltage2]]&gt;Threshold2,1,0)</f>
        <v>#DIV/0!</v>
      </c>
      <c r="U44" s="41" t="e">
        <f>AND(Table156[[#This Row],[Last2]]&gt;0,Table156[[#This Row],[Last2]]&lt;MAX(Table156[Last2]))</f>
        <v>#DIV/0!</v>
      </c>
      <c r="V44" s="41" t="b">
        <f>OR('Data In'!B50&gt;'Data In'!B49)</f>
        <v>1</v>
      </c>
      <c r="W44" s="41">
        <f>COUNTIF($V$2:V44,"false")</f>
        <v>1</v>
      </c>
      <c r="X44" s="57"/>
    </row>
    <row r="45" spans="1:29" x14ac:dyDescent="0.45">
      <c r="A45" s="1" t="s">
        <v>63</v>
      </c>
      <c r="B45" s="1">
        <f t="shared" si="2"/>
        <v>6</v>
      </c>
      <c r="C45" s="1">
        <f t="shared" si="6"/>
        <v>11</v>
      </c>
      <c r="D45" s="1">
        <f t="shared" si="6"/>
        <v>16</v>
      </c>
      <c r="E45" s="1" t="e">
        <f t="shared" si="6"/>
        <v>#VALUE!</v>
      </c>
      <c r="F45" s="3">
        <f>IF(Table156[[#This Row],[seq]]&gt;=Table156[[#Totals],[seq]],'Data In'!B51,"")</f>
        <v>1124.8800000000001</v>
      </c>
      <c r="G45" s="4">
        <f>'Data In'!C51</f>
        <v>3.27</v>
      </c>
      <c r="H45" s="3" t="e">
        <f t="shared" si="4"/>
        <v>#VALUE!</v>
      </c>
      <c r="I45" s="1" t="b">
        <f t="shared" ref="I45:I108" si="9">AND(G44&lt;Threshold,G45&gt;Threshold)</f>
        <v>0</v>
      </c>
      <c r="J45" s="1">
        <f>IF(Table156[[#This Row],[Rising Through Threshold]],Table156[[#This Row],[Start time]],J44)</f>
        <v>994.8</v>
      </c>
      <c r="K45" s="1" t="str">
        <f>IF(AND(Table156[[#This Row],[Rising Through Threshold]],J44&gt;0),J45-J44,"")</f>
        <v/>
      </c>
      <c r="L45" s="1">
        <f>IF(Table156[[#This Row],[Voltage]]&gt;Threshold,1,0)</f>
        <v>1</v>
      </c>
      <c r="M45" s="1" t="b">
        <f>AND(Table156[[#This Row],[Last]]&gt;0,Table156[[#This Row],[Last]]&lt;MAX(Table156[Last]))</f>
        <v>1</v>
      </c>
      <c r="N45" s="41" t="str">
        <f>'Data In'!D51</f>
        <v>a</v>
      </c>
      <c r="O45" s="41" t="str">
        <f>'Data In'!E51</f>
        <v>a</v>
      </c>
      <c r="P45" s="41" t="e">
        <f t="shared" si="5"/>
        <v>#VALUE!</v>
      </c>
      <c r="Q45" s="41" t="e">
        <f t="shared" si="8"/>
        <v>#DIV/0!</v>
      </c>
      <c r="R45" s="41" t="e">
        <f>IF(Table156[[#This Row],[Rising Through Threshold2]],Table156[[#This Row],[Start time2]],R44)</f>
        <v>#DIV/0!</v>
      </c>
      <c r="S45" s="41" t="e">
        <f>IF(AND(Table156[[#This Row],[Rising Through Threshold2]],R44&gt;0),R45-R44,"")</f>
        <v>#DIV/0!</v>
      </c>
      <c r="T45" s="41" t="e">
        <f>IF(Table156[[#This Row],[Voltage2]]&gt;Threshold2,1,0)</f>
        <v>#DIV/0!</v>
      </c>
      <c r="U45" s="41" t="e">
        <f>AND(Table156[[#This Row],[Last2]]&gt;0,Table156[[#This Row],[Last2]]&lt;MAX(Table156[Last2]))</f>
        <v>#DIV/0!</v>
      </c>
      <c r="V45" s="41" t="b">
        <f>OR('Data In'!B51&gt;'Data In'!B50)</f>
        <v>1</v>
      </c>
      <c r="W45" s="41">
        <f>COUNTIF($V$2:V45,"false")</f>
        <v>1</v>
      </c>
      <c r="X45" s="57"/>
    </row>
    <row r="46" spans="1:29" x14ac:dyDescent="0.45">
      <c r="A46" s="1" t="s">
        <v>64</v>
      </c>
      <c r="B46" s="1">
        <f t="shared" si="2"/>
        <v>6</v>
      </c>
      <c r="C46" s="1">
        <f t="shared" si="6"/>
        <v>11</v>
      </c>
      <c r="D46" s="1">
        <f t="shared" si="6"/>
        <v>16</v>
      </c>
      <c r="E46" s="1" t="e">
        <f t="shared" si="6"/>
        <v>#VALUE!</v>
      </c>
      <c r="F46" s="3">
        <f>IF(Table156[[#This Row],[seq]]&gt;=Table156[[#Totals],[seq]],'Data In'!B52,"")</f>
        <v>1151.4000000000001</v>
      </c>
      <c r="G46" s="4">
        <f>'Data In'!C52</f>
        <v>3.39</v>
      </c>
      <c r="H46" s="3" t="e">
        <f t="shared" si="4"/>
        <v>#VALUE!</v>
      </c>
      <c r="I46" s="1" t="b">
        <f t="shared" si="9"/>
        <v>0</v>
      </c>
      <c r="J46" s="1">
        <f>IF(Table156[[#This Row],[Rising Through Threshold]],Table156[[#This Row],[Start time]],J45)</f>
        <v>994.8</v>
      </c>
      <c r="K46" s="1" t="str">
        <f>IF(AND(Table156[[#This Row],[Rising Through Threshold]],J45&gt;0),J46-J45,"")</f>
        <v/>
      </c>
      <c r="L46" s="1">
        <f>IF(Table156[[#This Row],[Voltage]]&gt;Threshold,1,0)</f>
        <v>1</v>
      </c>
      <c r="M46" s="1" t="b">
        <f>AND(Table156[[#This Row],[Last]]&gt;0,Table156[[#This Row],[Last]]&lt;MAX(Table156[Last]))</f>
        <v>1</v>
      </c>
      <c r="N46" s="41" t="str">
        <f>'Data In'!D52</f>
        <v>a</v>
      </c>
      <c r="O46" s="41" t="str">
        <f>'Data In'!E52</f>
        <v>a</v>
      </c>
      <c r="P46" s="41" t="e">
        <f t="shared" si="5"/>
        <v>#VALUE!</v>
      </c>
      <c r="Q46" s="41" t="e">
        <f t="shared" si="8"/>
        <v>#DIV/0!</v>
      </c>
      <c r="R46" s="41" t="e">
        <f>IF(Table156[[#This Row],[Rising Through Threshold2]],Table156[[#This Row],[Start time2]],R45)</f>
        <v>#DIV/0!</v>
      </c>
      <c r="S46" s="41" t="e">
        <f>IF(AND(Table156[[#This Row],[Rising Through Threshold2]],R45&gt;0),R46-R45,"")</f>
        <v>#DIV/0!</v>
      </c>
      <c r="T46" s="41" t="e">
        <f>IF(Table156[[#This Row],[Voltage2]]&gt;Threshold2,1,0)</f>
        <v>#DIV/0!</v>
      </c>
      <c r="U46" s="41" t="e">
        <f>AND(Table156[[#This Row],[Last2]]&gt;0,Table156[[#This Row],[Last2]]&lt;MAX(Table156[Last2]))</f>
        <v>#DIV/0!</v>
      </c>
      <c r="V46" s="41" t="b">
        <f>OR('Data In'!B52&gt;'Data In'!B51)</f>
        <v>1</v>
      </c>
      <c r="W46" s="41">
        <f>COUNTIF($V$2:V46,"false")</f>
        <v>1</v>
      </c>
      <c r="X46" s="57"/>
    </row>
    <row r="47" spans="1:29" x14ac:dyDescent="0.45">
      <c r="A47" s="1" t="s">
        <v>65</v>
      </c>
      <c r="B47" s="1">
        <f t="shared" si="2"/>
        <v>6</v>
      </c>
      <c r="C47" s="1">
        <f t="shared" si="6"/>
        <v>11</v>
      </c>
      <c r="D47" s="1">
        <f t="shared" si="6"/>
        <v>16</v>
      </c>
      <c r="E47" s="1" t="e">
        <f t="shared" si="6"/>
        <v>#VALUE!</v>
      </c>
      <c r="F47" s="3">
        <f>IF(Table156[[#This Row],[seq]]&gt;=Table156[[#Totals],[seq]],'Data In'!B53,"")</f>
        <v>1177.2</v>
      </c>
      <c r="G47" s="4">
        <f>'Data In'!C53</f>
        <v>3.51</v>
      </c>
      <c r="H47" s="3" t="e">
        <f t="shared" si="4"/>
        <v>#VALUE!</v>
      </c>
      <c r="I47" s="1" t="b">
        <f t="shared" si="9"/>
        <v>0</v>
      </c>
      <c r="J47" s="1">
        <f>IF(Table156[[#This Row],[Rising Through Threshold]],Table156[[#This Row],[Start time]],J46)</f>
        <v>994.8</v>
      </c>
      <c r="K47" s="1" t="str">
        <f>IF(AND(Table156[[#This Row],[Rising Through Threshold]],J46&gt;0),J47-J46,"")</f>
        <v/>
      </c>
      <c r="L47" s="1">
        <f>IF(Table156[[#This Row],[Voltage]]&gt;Threshold,1,0)</f>
        <v>1</v>
      </c>
      <c r="M47" s="1" t="b">
        <f>AND(Table156[[#This Row],[Last]]&gt;0,Table156[[#This Row],[Last]]&lt;MAX(Table156[Last]))</f>
        <v>1</v>
      </c>
      <c r="N47" s="41" t="str">
        <f>'Data In'!D53</f>
        <v>a</v>
      </c>
      <c r="O47" s="41" t="str">
        <f>'Data In'!E53</f>
        <v>a</v>
      </c>
      <c r="P47" s="41" t="e">
        <f t="shared" si="5"/>
        <v>#VALUE!</v>
      </c>
      <c r="Q47" s="41" t="e">
        <f t="shared" si="8"/>
        <v>#DIV/0!</v>
      </c>
      <c r="R47" s="41" t="e">
        <f>IF(Table156[[#This Row],[Rising Through Threshold2]],Table156[[#This Row],[Start time2]],R46)</f>
        <v>#DIV/0!</v>
      </c>
      <c r="S47" s="41" t="e">
        <f>IF(AND(Table156[[#This Row],[Rising Through Threshold2]],R46&gt;0),R47-R46,"")</f>
        <v>#DIV/0!</v>
      </c>
      <c r="T47" s="41" t="e">
        <f>IF(Table156[[#This Row],[Voltage2]]&gt;Threshold2,1,0)</f>
        <v>#DIV/0!</v>
      </c>
      <c r="U47" s="41" t="e">
        <f>AND(Table156[[#This Row],[Last2]]&gt;0,Table156[[#This Row],[Last2]]&lt;MAX(Table156[Last2]))</f>
        <v>#DIV/0!</v>
      </c>
      <c r="V47" s="41" t="b">
        <f>OR('Data In'!B53&gt;'Data In'!B52)</f>
        <v>1</v>
      </c>
      <c r="W47" s="41">
        <f>COUNTIF($V$2:V47,"false")</f>
        <v>1</v>
      </c>
      <c r="X47" s="57"/>
    </row>
    <row r="48" spans="1:29" x14ac:dyDescent="0.45">
      <c r="A48" s="1" t="s">
        <v>66</v>
      </c>
      <c r="B48" s="1">
        <f t="shared" si="2"/>
        <v>6</v>
      </c>
      <c r="C48" s="1">
        <f t="shared" ref="C48:E63" si="10">FIND(":",$A48,B48+1)</f>
        <v>11</v>
      </c>
      <c r="D48" s="1">
        <f t="shared" si="10"/>
        <v>16</v>
      </c>
      <c r="E48" s="1" t="e">
        <f t="shared" si="10"/>
        <v>#VALUE!</v>
      </c>
      <c r="F48" s="3">
        <f>IF(Table156[[#This Row],[seq]]&gt;=Table156[[#Totals],[seq]],'Data In'!B54,"")</f>
        <v>1203.3599999999999</v>
      </c>
      <c r="G48" s="4">
        <f>'Data In'!C54</f>
        <v>3.59</v>
      </c>
      <c r="H48" s="3" t="e">
        <f t="shared" si="4"/>
        <v>#VALUE!</v>
      </c>
      <c r="I48" s="1" t="b">
        <f t="shared" si="9"/>
        <v>0</v>
      </c>
      <c r="J48" s="1">
        <f>IF(Table156[[#This Row],[Rising Through Threshold]],Table156[[#This Row],[Start time]],J47)</f>
        <v>994.8</v>
      </c>
      <c r="K48" s="1" t="str">
        <f>IF(AND(Table156[[#This Row],[Rising Through Threshold]],J47&gt;0),J48-J47,"")</f>
        <v/>
      </c>
      <c r="L48" s="1">
        <f>IF(Table156[[#This Row],[Voltage]]&gt;Threshold,1,0)</f>
        <v>1</v>
      </c>
      <c r="M48" s="1" t="b">
        <f>AND(Table156[[#This Row],[Last]]&gt;0,Table156[[#This Row],[Last]]&lt;MAX(Table156[Last]))</f>
        <v>1</v>
      </c>
      <c r="N48" s="41" t="str">
        <f>'Data In'!D54</f>
        <v>a</v>
      </c>
      <c r="O48" s="41" t="str">
        <f>'Data In'!E54</f>
        <v>a</v>
      </c>
      <c r="P48" s="41" t="e">
        <f t="shared" si="5"/>
        <v>#VALUE!</v>
      </c>
      <c r="Q48" s="41" t="e">
        <f t="shared" si="8"/>
        <v>#DIV/0!</v>
      </c>
      <c r="R48" s="41" t="e">
        <f>IF(Table156[[#This Row],[Rising Through Threshold2]],Table156[[#This Row],[Start time2]],R47)</f>
        <v>#DIV/0!</v>
      </c>
      <c r="S48" s="41" t="e">
        <f>IF(AND(Table156[[#This Row],[Rising Through Threshold2]],R47&gt;0),R48-R47,"")</f>
        <v>#DIV/0!</v>
      </c>
      <c r="T48" s="41" t="e">
        <f>IF(Table156[[#This Row],[Voltage2]]&gt;Threshold2,1,0)</f>
        <v>#DIV/0!</v>
      </c>
      <c r="U48" s="41" t="e">
        <f>AND(Table156[[#This Row],[Last2]]&gt;0,Table156[[#This Row],[Last2]]&lt;MAX(Table156[Last2]))</f>
        <v>#DIV/0!</v>
      </c>
      <c r="V48" s="41" t="b">
        <f>OR('Data In'!B54&gt;'Data In'!B53)</f>
        <v>1</v>
      </c>
      <c r="W48" s="41">
        <f>COUNTIF($V$2:V48,"false")</f>
        <v>1</v>
      </c>
      <c r="X48" s="57"/>
    </row>
    <row r="49" spans="1:24" x14ac:dyDescent="0.45">
      <c r="A49" s="1" t="s">
        <v>67</v>
      </c>
      <c r="B49" s="1">
        <f t="shared" si="2"/>
        <v>6</v>
      </c>
      <c r="C49" s="1">
        <f t="shared" si="10"/>
        <v>11</v>
      </c>
      <c r="D49" s="1">
        <f t="shared" si="10"/>
        <v>16</v>
      </c>
      <c r="E49" s="1" t="e">
        <f t="shared" si="10"/>
        <v>#VALUE!</v>
      </c>
      <c r="F49" s="3">
        <f>IF(Table156[[#This Row],[seq]]&gt;=Table156[[#Totals],[seq]],'Data In'!B55,"")</f>
        <v>1229.52</v>
      </c>
      <c r="G49" s="4">
        <f>'Data In'!C55</f>
        <v>3.67</v>
      </c>
      <c r="H49" s="3" t="e">
        <f t="shared" si="4"/>
        <v>#VALUE!</v>
      </c>
      <c r="I49" s="1" t="b">
        <f t="shared" si="9"/>
        <v>0</v>
      </c>
      <c r="J49" s="1">
        <f>IF(Table156[[#This Row],[Rising Through Threshold]],Table156[[#This Row],[Start time]],J48)</f>
        <v>994.8</v>
      </c>
      <c r="K49" s="1" t="str">
        <f>IF(AND(Table156[[#This Row],[Rising Through Threshold]],J48&gt;0),J49-J48,"")</f>
        <v/>
      </c>
      <c r="L49" s="1">
        <f>IF(Table156[[#This Row],[Voltage]]&gt;Threshold,1,0)</f>
        <v>1</v>
      </c>
      <c r="M49" s="1" t="b">
        <f>AND(Table156[[#This Row],[Last]]&gt;0,Table156[[#This Row],[Last]]&lt;MAX(Table156[Last]))</f>
        <v>1</v>
      </c>
      <c r="N49" s="41" t="str">
        <f>'Data In'!D55</f>
        <v>a</v>
      </c>
      <c r="O49" s="41" t="str">
        <f>'Data In'!E55</f>
        <v>a</v>
      </c>
      <c r="P49" s="41" t="e">
        <f t="shared" si="5"/>
        <v>#VALUE!</v>
      </c>
      <c r="Q49" s="41" t="e">
        <f t="shared" si="8"/>
        <v>#DIV/0!</v>
      </c>
      <c r="R49" s="41" t="e">
        <f>IF(Table156[[#This Row],[Rising Through Threshold2]],Table156[[#This Row],[Start time2]],R48)</f>
        <v>#DIV/0!</v>
      </c>
      <c r="S49" s="41" t="e">
        <f>IF(AND(Table156[[#This Row],[Rising Through Threshold2]],R48&gt;0),R49-R48,"")</f>
        <v>#DIV/0!</v>
      </c>
      <c r="T49" s="41" t="e">
        <f>IF(Table156[[#This Row],[Voltage2]]&gt;Threshold2,1,0)</f>
        <v>#DIV/0!</v>
      </c>
      <c r="U49" s="41" t="e">
        <f>AND(Table156[[#This Row],[Last2]]&gt;0,Table156[[#This Row],[Last2]]&lt;MAX(Table156[Last2]))</f>
        <v>#DIV/0!</v>
      </c>
      <c r="V49" s="41" t="b">
        <f>OR('Data In'!B55&gt;'Data In'!B54)</f>
        <v>1</v>
      </c>
      <c r="W49" s="41">
        <f>COUNTIF($V$2:V49,"false")</f>
        <v>1</v>
      </c>
      <c r="X49" s="57"/>
    </row>
    <row r="50" spans="1:24" x14ac:dyDescent="0.45">
      <c r="A50" s="1" t="s">
        <v>68</v>
      </c>
      <c r="B50" s="1">
        <f t="shared" si="2"/>
        <v>6</v>
      </c>
      <c r="C50" s="1">
        <f t="shared" si="10"/>
        <v>11</v>
      </c>
      <c r="D50" s="1">
        <f t="shared" si="10"/>
        <v>16</v>
      </c>
      <c r="E50" s="1" t="e">
        <f t="shared" si="10"/>
        <v>#VALUE!</v>
      </c>
      <c r="F50" s="3">
        <f>IF(Table156[[#This Row],[seq]]&gt;=Table156[[#Totals],[seq]],'Data In'!B56,"")</f>
        <v>1255.68</v>
      </c>
      <c r="G50" s="4">
        <f>'Data In'!C56</f>
        <v>3.73</v>
      </c>
      <c r="H50" s="3" t="e">
        <f t="shared" si="4"/>
        <v>#VALUE!</v>
      </c>
      <c r="I50" s="1" t="b">
        <f t="shared" si="9"/>
        <v>0</v>
      </c>
      <c r="J50" s="1">
        <f>IF(Table156[[#This Row],[Rising Through Threshold]],Table156[[#This Row],[Start time]],J49)</f>
        <v>994.8</v>
      </c>
      <c r="K50" s="1" t="str">
        <f>IF(AND(Table156[[#This Row],[Rising Through Threshold]],J49&gt;0),J50-J49,"")</f>
        <v/>
      </c>
      <c r="L50" s="1">
        <f>IF(Table156[[#This Row],[Voltage]]&gt;Threshold,1,0)</f>
        <v>1</v>
      </c>
      <c r="M50" s="1" t="b">
        <f>AND(Table156[[#This Row],[Last]]&gt;0,Table156[[#This Row],[Last]]&lt;MAX(Table156[Last]))</f>
        <v>1</v>
      </c>
      <c r="N50" s="41" t="str">
        <f>'Data In'!D56</f>
        <v>a</v>
      </c>
      <c r="O50" s="41" t="str">
        <f>'Data In'!E56</f>
        <v>a</v>
      </c>
      <c r="P50" s="41" t="e">
        <f t="shared" si="5"/>
        <v>#VALUE!</v>
      </c>
      <c r="Q50" s="41" t="e">
        <f t="shared" si="8"/>
        <v>#DIV/0!</v>
      </c>
      <c r="R50" s="41" t="e">
        <f>IF(Table156[[#This Row],[Rising Through Threshold2]],Table156[[#This Row],[Start time2]],R49)</f>
        <v>#DIV/0!</v>
      </c>
      <c r="S50" s="41" t="e">
        <f>IF(AND(Table156[[#This Row],[Rising Through Threshold2]],R49&gt;0),R50-R49,"")</f>
        <v>#DIV/0!</v>
      </c>
      <c r="T50" s="41" t="e">
        <f>IF(Table156[[#This Row],[Voltage2]]&gt;Threshold2,1,0)</f>
        <v>#DIV/0!</v>
      </c>
      <c r="U50" s="41" t="e">
        <f>AND(Table156[[#This Row],[Last2]]&gt;0,Table156[[#This Row],[Last2]]&lt;MAX(Table156[Last2]))</f>
        <v>#DIV/0!</v>
      </c>
      <c r="V50" s="41" t="b">
        <f>OR('Data In'!B56&gt;'Data In'!B55)</f>
        <v>1</v>
      </c>
      <c r="W50" s="41">
        <f>COUNTIF($V$2:V50,"false")</f>
        <v>1</v>
      </c>
      <c r="X50" s="57"/>
    </row>
    <row r="51" spans="1:24" x14ac:dyDescent="0.45">
      <c r="A51" s="1" t="s">
        <v>69</v>
      </c>
      <c r="B51" s="1">
        <f t="shared" si="2"/>
        <v>6</v>
      </c>
      <c r="C51" s="1">
        <f t="shared" si="10"/>
        <v>11</v>
      </c>
      <c r="D51" s="1">
        <f t="shared" si="10"/>
        <v>16</v>
      </c>
      <c r="E51" s="1" t="e">
        <f t="shared" si="10"/>
        <v>#VALUE!</v>
      </c>
      <c r="F51" s="3">
        <f>IF(Table156[[#This Row],[seq]]&gt;=Table156[[#Totals],[seq]],'Data In'!B57,"")</f>
        <v>1281.8399999999999</v>
      </c>
      <c r="G51" s="4">
        <f>'Data In'!C57</f>
        <v>3.73</v>
      </c>
      <c r="H51" s="3" t="e">
        <f t="shared" si="4"/>
        <v>#VALUE!</v>
      </c>
      <c r="I51" s="1" t="b">
        <f t="shared" si="9"/>
        <v>0</v>
      </c>
      <c r="J51" s="1">
        <f>IF(Table156[[#This Row],[Rising Through Threshold]],Table156[[#This Row],[Start time]],J50)</f>
        <v>994.8</v>
      </c>
      <c r="K51" s="1" t="str">
        <f>IF(AND(Table156[[#This Row],[Rising Through Threshold]],J50&gt;0),J51-J50,"")</f>
        <v/>
      </c>
      <c r="L51" s="1">
        <f>IF(Table156[[#This Row],[Voltage]]&gt;Threshold,1,0)</f>
        <v>1</v>
      </c>
      <c r="M51" s="1" t="b">
        <f>AND(Table156[[#This Row],[Last]]&gt;0,Table156[[#This Row],[Last]]&lt;MAX(Table156[Last]))</f>
        <v>1</v>
      </c>
      <c r="N51" s="41" t="str">
        <f>'Data In'!D57</f>
        <v>a</v>
      </c>
      <c r="O51" s="41" t="str">
        <f>'Data In'!E57</f>
        <v>a</v>
      </c>
      <c r="P51" s="41" t="e">
        <f t="shared" si="5"/>
        <v>#VALUE!</v>
      </c>
      <c r="Q51" s="41" t="e">
        <f t="shared" si="8"/>
        <v>#DIV/0!</v>
      </c>
      <c r="R51" s="41" t="e">
        <f>IF(Table156[[#This Row],[Rising Through Threshold2]],Table156[[#This Row],[Start time2]],R50)</f>
        <v>#DIV/0!</v>
      </c>
      <c r="S51" s="41" t="e">
        <f>IF(AND(Table156[[#This Row],[Rising Through Threshold2]],R50&gt;0),R51-R50,"")</f>
        <v>#DIV/0!</v>
      </c>
      <c r="T51" s="41" t="e">
        <f>IF(Table156[[#This Row],[Voltage2]]&gt;Threshold2,1,0)</f>
        <v>#DIV/0!</v>
      </c>
      <c r="U51" s="41" t="e">
        <f>AND(Table156[[#This Row],[Last2]]&gt;0,Table156[[#This Row],[Last2]]&lt;MAX(Table156[Last2]))</f>
        <v>#DIV/0!</v>
      </c>
      <c r="V51" s="41" t="b">
        <f>OR('Data In'!B57&gt;'Data In'!B56)</f>
        <v>1</v>
      </c>
      <c r="W51" s="41">
        <f>COUNTIF($V$2:V51,"false")</f>
        <v>1</v>
      </c>
      <c r="X51" s="57"/>
    </row>
    <row r="52" spans="1:24" x14ac:dyDescent="0.45">
      <c r="A52" s="1" t="s">
        <v>70</v>
      </c>
      <c r="B52" s="1">
        <f t="shared" si="2"/>
        <v>6</v>
      </c>
      <c r="C52" s="1">
        <f t="shared" si="10"/>
        <v>11</v>
      </c>
      <c r="D52" s="1">
        <f t="shared" si="10"/>
        <v>16</v>
      </c>
      <c r="E52" s="1" t="e">
        <f t="shared" si="10"/>
        <v>#VALUE!</v>
      </c>
      <c r="F52" s="3">
        <f>IF(Table156[[#This Row],[seq]]&gt;=Table156[[#Totals],[seq]],'Data In'!B58,"")</f>
        <v>1308</v>
      </c>
      <c r="G52" s="4">
        <f>'Data In'!C58</f>
        <v>3.65</v>
      </c>
      <c r="H52" s="3" t="e">
        <f t="shared" si="4"/>
        <v>#VALUE!</v>
      </c>
      <c r="I52" s="1" t="b">
        <f t="shared" si="9"/>
        <v>0</v>
      </c>
      <c r="J52" s="1">
        <f>IF(Table156[[#This Row],[Rising Through Threshold]],Table156[[#This Row],[Start time]],J51)</f>
        <v>994.8</v>
      </c>
      <c r="K52" s="1" t="str">
        <f>IF(AND(Table156[[#This Row],[Rising Through Threshold]],J51&gt;0),J52-J51,"")</f>
        <v/>
      </c>
      <c r="L52" s="1">
        <f>IF(Table156[[#This Row],[Voltage]]&gt;Threshold,1,0)</f>
        <v>1</v>
      </c>
      <c r="M52" s="1" t="b">
        <f>AND(Table156[[#This Row],[Last]]&gt;0,Table156[[#This Row],[Last]]&lt;MAX(Table156[Last]))</f>
        <v>1</v>
      </c>
      <c r="N52" s="41" t="str">
        <f>'Data In'!D58</f>
        <v>a</v>
      </c>
      <c r="O52" s="41" t="str">
        <f>'Data In'!E58</f>
        <v>a</v>
      </c>
      <c r="P52" s="41" t="e">
        <f t="shared" si="5"/>
        <v>#VALUE!</v>
      </c>
      <c r="Q52" s="41" t="e">
        <f t="shared" si="8"/>
        <v>#DIV/0!</v>
      </c>
      <c r="R52" s="41" t="e">
        <f>IF(Table156[[#This Row],[Rising Through Threshold2]],Table156[[#This Row],[Start time2]],R51)</f>
        <v>#DIV/0!</v>
      </c>
      <c r="S52" s="41" t="e">
        <f>IF(AND(Table156[[#This Row],[Rising Through Threshold2]],R51&gt;0),R52-R51,"")</f>
        <v>#DIV/0!</v>
      </c>
      <c r="T52" s="41" t="e">
        <f>IF(Table156[[#This Row],[Voltage2]]&gt;Threshold2,1,0)</f>
        <v>#DIV/0!</v>
      </c>
      <c r="U52" s="41" t="e">
        <f>AND(Table156[[#This Row],[Last2]]&gt;0,Table156[[#This Row],[Last2]]&lt;MAX(Table156[Last2]))</f>
        <v>#DIV/0!</v>
      </c>
      <c r="V52" s="41" t="b">
        <f>OR('Data In'!B58&gt;'Data In'!B57)</f>
        <v>1</v>
      </c>
      <c r="W52" s="41">
        <f>COUNTIF($V$2:V52,"false")</f>
        <v>1</v>
      </c>
      <c r="X52" s="57"/>
    </row>
    <row r="53" spans="1:24" x14ac:dyDescent="0.45">
      <c r="A53" s="1" t="s">
        <v>71</v>
      </c>
      <c r="B53" s="1">
        <f t="shared" si="2"/>
        <v>6</v>
      </c>
      <c r="C53" s="1">
        <f t="shared" si="10"/>
        <v>11</v>
      </c>
      <c r="D53" s="1">
        <f t="shared" si="10"/>
        <v>16</v>
      </c>
      <c r="E53" s="1" t="e">
        <f t="shared" si="10"/>
        <v>#VALUE!</v>
      </c>
      <c r="F53" s="3">
        <f>IF(Table156[[#This Row],[seq]]&gt;=Table156[[#Totals],[seq]],'Data In'!B59,"")</f>
        <v>1334.16</v>
      </c>
      <c r="G53" s="4">
        <f>'Data In'!C59</f>
        <v>3.45</v>
      </c>
      <c r="H53" s="3" t="e">
        <f t="shared" si="4"/>
        <v>#VALUE!</v>
      </c>
      <c r="I53" s="1" t="b">
        <f t="shared" si="9"/>
        <v>0</v>
      </c>
      <c r="J53" s="1">
        <f>IF(Table156[[#This Row],[Rising Through Threshold]],Table156[[#This Row],[Start time]],J52)</f>
        <v>994.8</v>
      </c>
      <c r="K53" s="1" t="str">
        <f>IF(AND(Table156[[#This Row],[Rising Through Threshold]],J52&gt;0),J53-J52,"")</f>
        <v/>
      </c>
      <c r="L53" s="1">
        <f>IF(Table156[[#This Row],[Voltage]]&gt;Threshold,1,0)</f>
        <v>1</v>
      </c>
      <c r="M53" s="1" t="b">
        <f>AND(Table156[[#This Row],[Last]]&gt;0,Table156[[#This Row],[Last]]&lt;MAX(Table156[Last]))</f>
        <v>1</v>
      </c>
      <c r="N53" s="41" t="str">
        <f>'Data In'!D59</f>
        <v>a</v>
      </c>
      <c r="O53" s="41" t="str">
        <f>'Data In'!E59</f>
        <v>a</v>
      </c>
      <c r="P53" s="41" t="e">
        <f t="shared" si="5"/>
        <v>#VALUE!</v>
      </c>
      <c r="Q53" s="41" t="e">
        <f t="shared" si="8"/>
        <v>#DIV/0!</v>
      </c>
      <c r="R53" s="41" t="e">
        <f>IF(Table156[[#This Row],[Rising Through Threshold2]],Table156[[#This Row],[Start time2]],R52)</f>
        <v>#DIV/0!</v>
      </c>
      <c r="S53" s="41" t="e">
        <f>IF(AND(Table156[[#This Row],[Rising Through Threshold2]],R52&gt;0),R53-R52,"")</f>
        <v>#DIV/0!</v>
      </c>
      <c r="T53" s="41" t="e">
        <f>IF(Table156[[#This Row],[Voltage2]]&gt;Threshold2,1,0)</f>
        <v>#DIV/0!</v>
      </c>
      <c r="U53" s="41" t="e">
        <f>AND(Table156[[#This Row],[Last2]]&gt;0,Table156[[#This Row],[Last2]]&lt;MAX(Table156[Last2]))</f>
        <v>#DIV/0!</v>
      </c>
      <c r="V53" s="41" t="b">
        <f>OR('Data In'!B59&gt;'Data In'!B58)</f>
        <v>1</v>
      </c>
      <c r="W53" s="41">
        <f>COUNTIF($V$2:V53,"false")</f>
        <v>1</v>
      </c>
      <c r="X53" s="57"/>
    </row>
    <row r="54" spans="1:24" x14ac:dyDescent="0.45">
      <c r="A54" s="1" t="s">
        <v>72</v>
      </c>
      <c r="B54" s="1">
        <f t="shared" si="2"/>
        <v>6</v>
      </c>
      <c r="C54" s="1">
        <f t="shared" si="10"/>
        <v>11</v>
      </c>
      <c r="D54" s="1">
        <f t="shared" si="10"/>
        <v>16</v>
      </c>
      <c r="E54" s="1" t="e">
        <f t="shared" si="10"/>
        <v>#VALUE!</v>
      </c>
      <c r="F54" s="3">
        <f>IF(Table156[[#This Row],[seq]]&gt;=Table156[[#Totals],[seq]],'Data In'!B60,"")</f>
        <v>1360.32</v>
      </c>
      <c r="G54" s="4">
        <f>'Data In'!C60</f>
        <v>3.08</v>
      </c>
      <c r="H54" s="3" t="e">
        <f t="shared" si="4"/>
        <v>#VALUE!</v>
      </c>
      <c r="I54" s="1" t="b">
        <f t="shared" si="9"/>
        <v>0</v>
      </c>
      <c r="J54" s="1">
        <f>IF(Table156[[#This Row],[Rising Through Threshold]],Table156[[#This Row],[Start time]],J53)</f>
        <v>994.8</v>
      </c>
      <c r="K54" s="1" t="str">
        <f>IF(AND(Table156[[#This Row],[Rising Through Threshold]],J53&gt;0),J54-J53,"")</f>
        <v/>
      </c>
      <c r="L54" s="1">
        <f>IF(Table156[[#This Row],[Voltage]]&gt;Threshold,1,0)</f>
        <v>1</v>
      </c>
      <c r="M54" s="1" t="b">
        <f>AND(Table156[[#This Row],[Last]]&gt;0,Table156[[#This Row],[Last]]&lt;MAX(Table156[Last]))</f>
        <v>1</v>
      </c>
      <c r="N54" s="41" t="str">
        <f>'Data In'!D60</f>
        <v>a</v>
      </c>
      <c r="O54" s="41" t="str">
        <f>'Data In'!E60</f>
        <v>a</v>
      </c>
      <c r="P54" s="41" t="e">
        <f t="shared" si="5"/>
        <v>#VALUE!</v>
      </c>
      <c r="Q54" s="41" t="e">
        <f t="shared" si="8"/>
        <v>#DIV/0!</v>
      </c>
      <c r="R54" s="41" t="e">
        <f>IF(Table156[[#This Row],[Rising Through Threshold2]],Table156[[#This Row],[Start time2]],R53)</f>
        <v>#DIV/0!</v>
      </c>
      <c r="S54" s="41" t="e">
        <f>IF(AND(Table156[[#This Row],[Rising Through Threshold2]],R53&gt;0),R54-R53,"")</f>
        <v>#DIV/0!</v>
      </c>
      <c r="T54" s="41" t="e">
        <f>IF(Table156[[#This Row],[Voltage2]]&gt;Threshold2,1,0)</f>
        <v>#DIV/0!</v>
      </c>
      <c r="U54" s="41" t="e">
        <f>AND(Table156[[#This Row],[Last2]]&gt;0,Table156[[#This Row],[Last2]]&lt;MAX(Table156[Last2]))</f>
        <v>#DIV/0!</v>
      </c>
      <c r="V54" s="41" t="b">
        <f>OR('Data In'!B60&gt;'Data In'!B59)</f>
        <v>1</v>
      </c>
      <c r="W54" s="41">
        <f>COUNTIF($V$2:V54,"false")</f>
        <v>1</v>
      </c>
      <c r="X54" s="57"/>
    </row>
    <row r="55" spans="1:24" x14ac:dyDescent="0.45">
      <c r="A55" s="1" t="s">
        <v>73</v>
      </c>
      <c r="B55" s="1">
        <f t="shared" si="2"/>
        <v>6</v>
      </c>
      <c r="C55" s="1">
        <f t="shared" si="10"/>
        <v>11</v>
      </c>
      <c r="D55" s="1">
        <f t="shared" si="10"/>
        <v>16</v>
      </c>
      <c r="E55" s="1" t="e">
        <f t="shared" si="10"/>
        <v>#VALUE!</v>
      </c>
      <c r="F55" s="3">
        <f>IF(Table156[[#This Row],[seq]]&gt;=Table156[[#Totals],[seq]],'Data In'!B61,"")</f>
        <v>1386.48</v>
      </c>
      <c r="G55" s="4">
        <f>'Data In'!C61</f>
        <v>2.4900000000000002</v>
      </c>
      <c r="H55" s="3" t="e">
        <f t="shared" si="4"/>
        <v>#VALUE!</v>
      </c>
      <c r="I55" s="1" t="b">
        <f t="shared" si="9"/>
        <v>0</v>
      </c>
      <c r="J55" s="1">
        <f>IF(Table156[[#This Row],[Rising Through Threshold]],Table156[[#This Row],[Start time]],J54)</f>
        <v>994.8</v>
      </c>
      <c r="K55" s="1" t="str">
        <f>IF(AND(Table156[[#This Row],[Rising Through Threshold]],J54&gt;0),J55-J54,"")</f>
        <v/>
      </c>
      <c r="L55" s="1">
        <f>IF(Table156[[#This Row],[Voltage]]&gt;Threshold,1,0)</f>
        <v>1</v>
      </c>
      <c r="M55" s="1" t="b">
        <f>AND(Table156[[#This Row],[Last]]&gt;0,Table156[[#This Row],[Last]]&lt;MAX(Table156[Last]))</f>
        <v>1</v>
      </c>
      <c r="N55" s="41" t="str">
        <f>'Data In'!D61</f>
        <v>a</v>
      </c>
      <c r="O55" s="41" t="str">
        <f>'Data In'!E61</f>
        <v>a</v>
      </c>
      <c r="P55" s="41" t="e">
        <f t="shared" si="5"/>
        <v>#VALUE!</v>
      </c>
      <c r="Q55" s="41" t="e">
        <f t="shared" si="8"/>
        <v>#DIV/0!</v>
      </c>
      <c r="R55" s="41" t="e">
        <f>IF(Table156[[#This Row],[Rising Through Threshold2]],Table156[[#This Row],[Start time2]],R54)</f>
        <v>#DIV/0!</v>
      </c>
      <c r="S55" s="41" t="e">
        <f>IF(AND(Table156[[#This Row],[Rising Through Threshold2]],R54&gt;0),R55-R54,"")</f>
        <v>#DIV/0!</v>
      </c>
      <c r="T55" s="41" t="e">
        <f>IF(Table156[[#This Row],[Voltage2]]&gt;Threshold2,1,0)</f>
        <v>#DIV/0!</v>
      </c>
      <c r="U55" s="41" t="e">
        <f>AND(Table156[[#This Row],[Last2]]&gt;0,Table156[[#This Row],[Last2]]&lt;MAX(Table156[Last2]))</f>
        <v>#DIV/0!</v>
      </c>
      <c r="V55" s="41" t="b">
        <f>OR('Data In'!B61&gt;'Data In'!B60)</f>
        <v>1</v>
      </c>
      <c r="W55" s="41">
        <f>COUNTIF($V$2:V55,"false")</f>
        <v>1</v>
      </c>
      <c r="X55" s="57"/>
    </row>
    <row r="56" spans="1:24" x14ac:dyDescent="0.45">
      <c r="A56" s="1" t="s">
        <v>74</v>
      </c>
      <c r="B56" s="1">
        <f t="shared" si="2"/>
        <v>6</v>
      </c>
      <c r="C56" s="1">
        <f t="shared" si="10"/>
        <v>11</v>
      </c>
      <c r="D56" s="1">
        <f t="shared" si="10"/>
        <v>16</v>
      </c>
      <c r="E56" s="1" t="e">
        <f t="shared" si="10"/>
        <v>#VALUE!</v>
      </c>
      <c r="F56" s="3">
        <f>IF(Table156[[#This Row],[seq]]&gt;=Table156[[#Totals],[seq]],'Data In'!B62,"")</f>
        <v>1412.64</v>
      </c>
      <c r="G56" s="4">
        <f>'Data In'!C62</f>
        <v>1.8</v>
      </c>
      <c r="H56" s="3" t="e">
        <f t="shared" si="4"/>
        <v>#VALUE!</v>
      </c>
      <c r="I56" s="1" t="b">
        <f t="shared" si="9"/>
        <v>0</v>
      </c>
      <c r="J56" s="1">
        <f>IF(Table156[[#This Row],[Rising Through Threshold]],Table156[[#This Row],[Start time]],J55)</f>
        <v>994.8</v>
      </c>
      <c r="K56" s="1" t="str">
        <f>IF(AND(Table156[[#This Row],[Rising Through Threshold]],J55&gt;0),J56-J55,"")</f>
        <v/>
      </c>
      <c r="L56" s="1">
        <f>IF(Table156[[#This Row],[Voltage]]&gt;Threshold,1,0)</f>
        <v>0</v>
      </c>
      <c r="M56" s="1" t="b">
        <f>AND(Table156[[#This Row],[Last]]&gt;0,Table156[[#This Row],[Last]]&lt;MAX(Table156[Last]))</f>
        <v>1</v>
      </c>
      <c r="N56" s="41" t="str">
        <f>'Data In'!D62</f>
        <v>a</v>
      </c>
      <c r="O56" s="41" t="str">
        <f>'Data In'!E62</f>
        <v>a</v>
      </c>
      <c r="P56" s="41" t="e">
        <f t="shared" si="5"/>
        <v>#VALUE!</v>
      </c>
      <c r="Q56" s="41" t="e">
        <f t="shared" si="8"/>
        <v>#DIV/0!</v>
      </c>
      <c r="R56" s="41" t="e">
        <f>IF(Table156[[#This Row],[Rising Through Threshold2]],Table156[[#This Row],[Start time2]],R55)</f>
        <v>#DIV/0!</v>
      </c>
      <c r="S56" s="41" t="e">
        <f>IF(AND(Table156[[#This Row],[Rising Through Threshold2]],R55&gt;0),R56-R55,"")</f>
        <v>#DIV/0!</v>
      </c>
      <c r="T56" s="41" t="e">
        <f>IF(Table156[[#This Row],[Voltage2]]&gt;Threshold2,1,0)</f>
        <v>#DIV/0!</v>
      </c>
      <c r="U56" s="41" t="e">
        <f>AND(Table156[[#This Row],[Last2]]&gt;0,Table156[[#This Row],[Last2]]&lt;MAX(Table156[Last2]))</f>
        <v>#DIV/0!</v>
      </c>
      <c r="V56" s="41" t="b">
        <f>OR('Data In'!B62&gt;'Data In'!B61)</f>
        <v>1</v>
      </c>
      <c r="W56" s="41">
        <f>COUNTIF($V$2:V56,"false")</f>
        <v>1</v>
      </c>
      <c r="X56" s="57"/>
    </row>
    <row r="57" spans="1:24" x14ac:dyDescent="0.45">
      <c r="A57" s="1" t="s">
        <v>75</v>
      </c>
      <c r="B57" s="1">
        <f t="shared" si="2"/>
        <v>6</v>
      </c>
      <c r="C57" s="1">
        <f t="shared" si="10"/>
        <v>11</v>
      </c>
      <c r="D57" s="1">
        <f t="shared" si="10"/>
        <v>16</v>
      </c>
      <c r="E57" s="1" t="e">
        <f t="shared" si="10"/>
        <v>#VALUE!</v>
      </c>
      <c r="F57" s="3">
        <f>IF(Table156[[#This Row],[seq]]&gt;=Table156[[#Totals],[seq]],'Data In'!B63,"")</f>
        <v>1438.8</v>
      </c>
      <c r="G57" s="4">
        <f>'Data In'!C63</f>
        <v>1.08</v>
      </c>
      <c r="H57" s="3" t="e">
        <f t="shared" si="4"/>
        <v>#VALUE!</v>
      </c>
      <c r="I57" s="1" t="b">
        <f t="shared" si="9"/>
        <v>0</v>
      </c>
      <c r="J57" s="1">
        <f>IF(Table156[[#This Row],[Rising Through Threshold]],Table156[[#This Row],[Start time]],J56)</f>
        <v>994.8</v>
      </c>
      <c r="K57" s="1" t="str">
        <f>IF(AND(Table156[[#This Row],[Rising Through Threshold]],J56&gt;0),J57-J56,"")</f>
        <v/>
      </c>
      <c r="L57" s="1">
        <f>IF(Table156[[#This Row],[Voltage]]&gt;Threshold,1,0)</f>
        <v>0</v>
      </c>
      <c r="M57" s="1" t="b">
        <f>AND(Table156[[#This Row],[Last]]&gt;0,Table156[[#This Row],[Last]]&lt;MAX(Table156[Last]))</f>
        <v>1</v>
      </c>
      <c r="N57" s="41" t="str">
        <f>'Data In'!D63</f>
        <v>a</v>
      </c>
      <c r="O57" s="41" t="str">
        <f>'Data In'!E63</f>
        <v>a</v>
      </c>
      <c r="P57" s="41" t="e">
        <f t="shared" si="5"/>
        <v>#VALUE!</v>
      </c>
      <c r="Q57" s="41" t="e">
        <f t="shared" si="8"/>
        <v>#DIV/0!</v>
      </c>
      <c r="R57" s="41" t="e">
        <f>IF(Table156[[#This Row],[Rising Through Threshold2]],Table156[[#This Row],[Start time2]],R56)</f>
        <v>#DIV/0!</v>
      </c>
      <c r="S57" s="41" t="e">
        <f>IF(AND(Table156[[#This Row],[Rising Through Threshold2]],R56&gt;0),R57-R56,"")</f>
        <v>#DIV/0!</v>
      </c>
      <c r="T57" s="41" t="e">
        <f>IF(Table156[[#This Row],[Voltage2]]&gt;Threshold2,1,0)</f>
        <v>#DIV/0!</v>
      </c>
      <c r="U57" s="41" t="e">
        <f>AND(Table156[[#This Row],[Last2]]&gt;0,Table156[[#This Row],[Last2]]&lt;MAX(Table156[Last2]))</f>
        <v>#DIV/0!</v>
      </c>
      <c r="V57" s="41" t="b">
        <f>OR('Data In'!B63&gt;'Data In'!B62)</f>
        <v>1</v>
      </c>
      <c r="W57" s="41">
        <f>COUNTIF($V$2:V57,"false")</f>
        <v>1</v>
      </c>
      <c r="X57" s="57"/>
    </row>
    <row r="58" spans="1:24" x14ac:dyDescent="0.45">
      <c r="A58" s="1" t="s">
        <v>76</v>
      </c>
      <c r="B58" s="1">
        <f t="shared" si="2"/>
        <v>6</v>
      </c>
      <c r="C58" s="1">
        <f t="shared" si="10"/>
        <v>11</v>
      </c>
      <c r="D58" s="1">
        <f t="shared" si="10"/>
        <v>16</v>
      </c>
      <c r="E58" s="1" t="e">
        <f t="shared" si="10"/>
        <v>#VALUE!</v>
      </c>
      <c r="F58" s="3">
        <f>IF(Table156[[#This Row],[seq]]&gt;=Table156[[#Totals],[seq]],'Data In'!B64,"")</f>
        <v>1464.96</v>
      </c>
      <c r="G58" s="4">
        <f>'Data In'!C64</f>
        <v>0.47</v>
      </c>
      <c r="H58" s="3" t="e">
        <f t="shared" si="4"/>
        <v>#VALUE!</v>
      </c>
      <c r="I58" s="1" t="b">
        <f t="shared" si="9"/>
        <v>0</v>
      </c>
      <c r="J58" s="1">
        <f>IF(Table156[[#This Row],[Rising Through Threshold]],Table156[[#This Row],[Start time]],J57)</f>
        <v>994.8</v>
      </c>
      <c r="K58" s="1" t="str">
        <f>IF(AND(Table156[[#This Row],[Rising Through Threshold]],J57&gt;0),J58-J57,"")</f>
        <v/>
      </c>
      <c r="L58" s="1">
        <f>IF(Table156[[#This Row],[Voltage]]&gt;Threshold,1,0)</f>
        <v>0</v>
      </c>
      <c r="M58" s="1" t="b">
        <f>AND(Table156[[#This Row],[Last]]&gt;0,Table156[[#This Row],[Last]]&lt;MAX(Table156[Last]))</f>
        <v>1</v>
      </c>
      <c r="N58" s="41" t="str">
        <f>'Data In'!D64</f>
        <v>a</v>
      </c>
      <c r="O58" s="41" t="str">
        <f>'Data In'!E64</f>
        <v>a</v>
      </c>
      <c r="P58" s="41" t="e">
        <f t="shared" si="5"/>
        <v>#VALUE!</v>
      </c>
      <c r="Q58" s="41" t="e">
        <f t="shared" si="8"/>
        <v>#DIV/0!</v>
      </c>
      <c r="R58" s="41" t="e">
        <f>IF(Table156[[#This Row],[Rising Through Threshold2]],Table156[[#This Row],[Start time2]],R57)</f>
        <v>#DIV/0!</v>
      </c>
      <c r="S58" s="41" t="e">
        <f>IF(AND(Table156[[#This Row],[Rising Through Threshold2]],R57&gt;0),R58-R57,"")</f>
        <v>#DIV/0!</v>
      </c>
      <c r="T58" s="41" t="e">
        <f>IF(Table156[[#This Row],[Voltage2]]&gt;Threshold2,1,0)</f>
        <v>#DIV/0!</v>
      </c>
      <c r="U58" s="41" t="e">
        <f>AND(Table156[[#This Row],[Last2]]&gt;0,Table156[[#This Row],[Last2]]&lt;MAX(Table156[Last2]))</f>
        <v>#DIV/0!</v>
      </c>
      <c r="V58" s="41" t="b">
        <f>OR('Data In'!B64&gt;'Data In'!B63)</f>
        <v>1</v>
      </c>
      <c r="W58" s="41">
        <f>COUNTIF($V$2:V58,"false")</f>
        <v>1</v>
      </c>
      <c r="X58" s="57"/>
    </row>
    <row r="59" spans="1:24" x14ac:dyDescent="0.45">
      <c r="A59" s="1" t="s">
        <v>77</v>
      </c>
      <c r="B59" s="1">
        <f t="shared" si="2"/>
        <v>6</v>
      </c>
      <c r="C59" s="1">
        <f t="shared" si="10"/>
        <v>11</v>
      </c>
      <c r="D59" s="1">
        <f t="shared" si="10"/>
        <v>16</v>
      </c>
      <c r="E59" s="1" t="e">
        <f t="shared" si="10"/>
        <v>#VALUE!</v>
      </c>
      <c r="F59" s="3">
        <f>IF(Table156[[#This Row],[seq]]&gt;=Table156[[#Totals],[seq]],'Data In'!B65,"")</f>
        <v>1491.12</v>
      </c>
      <c r="G59" s="4">
        <f>'Data In'!C65</f>
        <v>0.43</v>
      </c>
      <c r="H59" s="3" t="e">
        <f t="shared" si="4"/>
        <v>#VALUE!</v>
      </c>
      <c r="I59" s="1" t="b">
        <f t="shared" si="9"/>
        <v>0</v>
      </c>
      <c r="J59" s="1">
        <f>IF(Table156[[#This Row],[Rising Through Threshold]],Table156[[#This Row],[Start time]],J58)</f>
        <v>994.8</v>
      </c>
      <c r="K59" s="1" t="str">
        <f>IF(AND(Table156[[#This Row],[Rising Through Threshold]],J58&gt;0),J59-J58,"")</f>
        <v/>
      </c>
      <c r="L59" s="1">
        <f>IF(Table156[[#This Row],[Voltage]]&gt;Threshold,1,0)</f>
        <v>0</v>
      </c>
      <c r="M59" s="1" t="b">
        <f>AND(Table156[[#This Row],[Last]]&gt;0,Table156[[#This Row],[Last]]&lt;MAX(Table156[Last]))</f>
        <v>1</v>
      </c>
      <c r="N59" s="41" t="str">
        <f>'Data In'!D65</f>
        <v>a</v>
      </c>
      <c r="O59" s="41" t="str">
        <f>'Data In'!E65</f>
        <v>a</v>
      </c>
      <c r="P59" s="41" t="e">
        <f t="shared" si="5"/>
        <v>#VALUE!</v>
      </c>
      <c r="Q59" s="41" t="e">
        <f t="shared" si="8"/>
        <v>#DIV/0!</v>
      </c>
      <c r="R59" s="41" t="e">
        <f>IF(Table156[[#This Row],[Rising Through Threshold2]],Table156[[#This Row],[Start time2]],R58)</f>
        <v>#DIV/0!</v>
      </c>
      <c r="S59" s="41" t="e">
        <f>IF(AND(Table156[[#This Row],[Rising Through Threshold2]],R58&gt;0),R59-R58,"")</f>
        <v>#DIV/0!</v>
      </c>
      <c r="T59" s="41" t="e">
        <f>IF(Table156[[#This Row],[Voltage2]]&gt;Threshold2,1,0)</f>
        <v>#DIV/0!</v>
      </c>
      <c r="U59" s="41" t="e">
        <f>AND(Table156[[#This Row],[Last2]]&gt;0,Table156[[#This Row],[Last2]]&lt;MAX(Table156[Last2]))</f>
        <v>#DIV/0!</v>
      </c>
      <c r="V59" s="41" t="b">
        <f>OR('Data In'!B65&gt;'Data In'!B64)</f>
        <v>1</v>
      </c>
      <c r="W59" s="41">
        <f>COUNTIF($V$2:V59,"false")</f>
        <v>1</v>
      </c>
      <c r="X59" s="57"/>
    </row>
    <row r="60" spans="1:24" x14ac:dyDescent="0.45">
      <c r="A60" s="1" t="s">
        <v>78</v>
      </c>
      <c r="B60" s="1">
        <f t="shared" si="2"/>
        <v>6</v>
      </c>
      <c r="C60" s="1">
        <f t="shared" si="10"/>
        <v>11</v>
      </c>
      <c r="D60" s="1">
        <f t="shared" si="10"/>
        <v>16</v>
      </c>
      <c r="E60" s="1" t="e">
        <f t="shared" si="10"/>
        <v>#VALUE!</v>
      </c>
      <c r="F60" s="3">
        <f>IF(Table156[[#This Row],[seq]]&gt;=Table156[[#Totals],[seq]],'Data In'!B66,"")</f>
        <v>1517.28</v>
      </c>
      <c r="G60" s="4">
        <f>'Data In'!C66</f>
        <v>0.47</v>
      </c>
      <c r="H60" s="3" t="e">
        <f t="shared" si="4"/>
        <v>#VALUE!</v>
      </c>
      <c r="I60" s="1" t="b">
        <f t="shared" si="9"/>
        <v>0</v>
      </c>
      <c r="J60" s="1">
        <f>IF(Table156[[#This Row],[Rising Through Threshold]],Table156[[#This Row],[Start time]],J59)</f>
        <v>994.8</v>
      </c>
      <c r="K60" s="1" t="str">
        <f>IF(AND(Table156[[#This Row],[Rising Through Threshold]],J59&gt;0),J60-J59,"")</f>
        <v/>
      </c>
      <c r="L60" s="1">
        <f>IF(Table156[[#This Row],[Voltage]]&gt;Threshold,1,0)</f>
        <v>0</v>
      </c>
      <c r="M60" s="1" t="b">
        <f>AND(Table156[[#This Row],[Last]]&gt;0,Table156[[#This Row],[Last]]&lt;MAX(Table156[Last]))</f>
        <v>1</v>
      </c>
      <c r="N60" s="41" t="str">
        <f>'Data In'!D66</f>
        <v>a</v>
      </c>
      <c r="O60" s="41" t="str">
        <f>'Data In'!E66</f>
        <v>a</v>
      </c>
      <c r="P60" s="41" t="e">
        <f t="shared" si="5"/>
        <v>#VALUE!</v>
      </c>
      <c r="Q60" s="41" t="e">
        <f t="shared" si="8"/>
        <v>#DIV/0!</v>
      </c>
      <c r="R60" s="41" t="e">
        <f>IF(Table156[[#This Row],[Rising Through Threshold2]],Table156[[#This Row],[Start time2]],R59)</f>
        <v>#DIV/0!</v>
      </c>
      <c r="S60" s="41" t="e">
        <f>IF(AND(Table156[[#This Row],[Rising Through Threshold2]],R59&gt;0),R60-R59,"")</f>
        <v>#DIV/0!</v>
      </c>
      <c r="T60" s="41" t="e">
        <f>IF(Table156[[#This Row],[Voltage2]]&gt;Threshold2,1,0)</f>
        <v>#DIV/0!</v>
      </c>
      <c r="U60" s="41" t="e">
        <f>AND(Table156[[#This Row],[Last2]]&gt;0,Table156[[#This Row],[Last2]]&lt;MAX(Table156[Last2]))</f>
        <v>#DIV/0!</v>
      </c>
      <c r="V60" s="41" t="b">
        <f>OR('Data In'!B66&gt;'Data In'!B65)</f>
        <v>1</v>
      </c>
      <c r="W60" s="41">
        <f>COUNTIF($V$2:V60,"false")</f>
        <v>1</v>
      </c>
      <c r="X60" s="57"/>
    </row>
    <row r="61" spans="1:24" x14ac:dyDescent="0.45">
      <c r="A61" s="1" t="s">
        <v>79</v>
      </c>
      <c r="B61" s="1">
        <f t="shared" si="2"/>
        <v>6</v>
      </c>
      <c r="C61" s="1">
        <f t="shared" si="10"/>
        <v>11</v>
      </c>
      <c r="D61" s="1">
        <f t="shared" si="10"/>
        <v>16</v>
      </c>
      <c r="E61" s="1" t="e">
        <f t="shared" si="10"/>
        <v>#VALUE!</v>
      </c>
      <c r="F61" s="3">
        <f>IF(Table156[[#This Row],[seq]]&gt;=Table156[[#Totals],[seq]],'Data In'!B67,"")</f>
        <v>1543.44</v>
      </c>
      <c r="G61" s="4">
        <f>'Data In'!C67</f>
        <v>0.53</v>
      </c>
      <c r="H61" s="3" t="e">
        <f t="shared" si="4"/>
        <v>#VALUE!</v>
      </c>
      <c r="I61" s="1" t="b">
        <f t="shared" si="9"/>
        <v>0</v>
      </c>
      <c r="J61" s="1">
        <f>IF(Table156[[#This Row],[Rising Through Threshold]],Table156[[#This Row],[Start time]],J60)</f>
        <v>994.8</v>
      </c>
      <c r="K61" s="1" t="str">
        <f>IF(AND(Table156[[#This Row],[Rising Through Threshold]],J60&gt;0),J61-J60,"")</f>
        <v/>
      </c>
      <c r="L61" s="1">
        <f>IF(Table156[[#This Row],[Voltage]]&gt;Threshold,1,0)</f>
        <v>0</v>
      </c>
      <c r="M61" s="1" t="b">
        <f>AND(Table156[[#This Row],[Last]]&gt;0,Table156[[#This Row],[Last]]&lt;MAX(Table156[Last]))</f>
        <v>1</v>
      </c>
      <c r="N61" s="41" t="str">
        <f>'Data In'!D67</f>
        <v>a</v>
      </c>
      <c r="O61" s="41" t="str">
        <f>'Data In'!E67</f>
        <v>a</v>
      </c>
      <c r="P61" s="41" t="e">
        <f t="shared" si="5"/>
        <v>#VALUE!</v>
      </c>
      <c r="Q61" s="41" t="e">
        <f t="shared" si="8"/>
        <v>#DIV/0!</v>
      </c>
      <c r="R61" s="41" t="e">
        <f>IF(Table156[[#This Row],[Rising Through Threshold2]],Table156[[#This Row],[Start time2]],R60)</f>
        <v>#DIV/0!</v>
      </c>
      <c r="S61" s="41" t="e">
        <f>IF(AND(Table156[[#This Row],[Rising Through Threshold2]],R60&gt;0),R61-R60,"")</f>
        <v>#DIV/0!</v>
      </c>
      <c r="T61" s="41" t="e">
        <f>IF(Table156[[#This Row],[Voltage2]]&gt;Threshold2,1,0)</f>
        <v>#DIV/0!</v>
      </c>
      <c r="U61" s="41" t="e">
        <f>AND(Table156[[#This Row],[Last2]]&gt;0,Table156[[#This Row],[Last2]]&lt;MAX(Table156[Last2]))</f>
        <v>#DIV/0!</v>
      </c>
      <c r="V61" s="41" t="b">
        <f>OR('Data In'!B67&gt;'Data In'!B66)</f>
        <v>1</v>
      </c>
      <c r="W61" s="41">
        <f>COUNTIF($V$2:V61,"false")</f>
        <v>1</v>
      </c>
      <c r="X61" s="57"/>
    </row>
    <row r="62" spans="1:24" x14ac:dyDescent="0.45">
      <c r="A62" s="1" t="s">
        <v>80</v>
      </c>
      <c r="B62" s="1">
        <f t="shared" si="2"/>
        <v>6</v>
      </c>
      <c r="C62" s="1">
        <f t="shared" si="10"/>
        <v>11</v>
      </c>
      <c r="D62" s="1">
        <f t="shared" si="10"/>
        <v>16</v>
      </c>
      <c r="E62" s="1" t="e">
        <f t="shared" si="10"/>
        <v>#VALUE!</v>
      </c>
      <c r="F62" s="3">
        <f>IF(Table156[[#This Row],[seq]]&gt;=Table156[[#Totals],[seq]],'Data In'!B68,"")</f>
        <v>1569.6</v>
      </c>
      <c r="G62" s="4">
        <f>'Data In'!C68</f>
        <v>0.67</v>
      </c>
      <c r="H62" s="3" t="e">
        <f t="shared" si="4"/>
        <v>#VALUE!</v>
      </c>
      <c r="I62" s="1" t="b">
        <f t="shared" si="9"/>
        <v>0</v>
      </c>
      <c r="J62" s="1">
        <f>IF(Table156[[#This Row],[Rising Through Threshold]],Table156[[#This Row],[Start time]],J61)</f>
        <v>994.8</v>
      </c>
      <c r="K62" s="1" t="str">
        <f>IF(AND(Table156[[#This Row],[Rising Through Threshold]],J61&gt;0),J62-J61,"")</f>
        <v/>
      </c>
      <c r="L62" s="1">
        <f>IF(Table156[[#This Row],[Voltage]]&gt;Threshold,1,0)</f>
        <v>0</v>
      </c>
      <c r="M62" s="1" t="b">
        <f>AND(Table156[[#This Row],[Last]]&gt;0,Table156[[#This Row],[Last]]&lt;MAX(Table156[Last]))</f>
        <v>1</v>
      </c>
      <c r="N62" s="41" t="str">
        <f>'Data In'!D68</f>
        <v>a</v>
      </c>
      <c r="O62" s="41" t="str">
        <f>'Data In'!E68</f>
        <v>a</v>
      </c>
      <c r="P62" s="41" t="e">
        <f t="shared" si="5"/>
        <v>#VALUE!</v>
      </c>
      <c r="Q62" s="41" t="e">
        <f t="shared" si="8"/>
        <v>#DIV/0!</v>
      </c>
      <c r="R62" s="41" t="e">
        <f>IF(Table156[[#This Row],[Rising Through Threshold2]],Table156[[#This Row],[Start time2]],R61)</f>
        <v>#DIV/0!</v>
      </c>
      <c r="S62" s="41" t="e">
        <f>IF(AND(Table156[[#This Row],[Rising Through Threshold2]],R61&gt;0),R62-R61,"")</f>
        <v>#DIV/0!</v>
      </c>
      <c r="T62" s="41" t="e">
        <f>IF(Table156[[#This Row],[Voltage2]]&gt;Threshold2,1,0)</f>
        <v>#DIV/0!</v>
      </c>
      <c r="U62" s="41" t="e">
        <f>AND(Table156[[#This Row],[Last2]]&gt;0,Table156[[#This Row],[Last2]]&lt;MAX(Table156[Last2]))</f>
        <v>#DIV/0!</v>
      </c>
      <c r="V62" s="41" t="b">
        <f>OR('Data In'!B68&gt;'Data In'!B67)</f>
        <v>1</v>
      </c>
      <c r="W62" s="41">
        <f>COUNTIF($V$2:V62,"false")</f>
        <v>1</v>
      </c>
      <c r="X62" s="57"/>
    </row>
    <row r="63" spans="1:24" x14ac:dyDescent="0.45">
      <c r="A63" s="1" t="s">
        <v>81</v>
      </c>
      <c r="B63" s="1">
        <f t="shared" si="2"/>
        <v>6</v>
      </c>
      <c r="C63" s="1">
        <f t="shared" si="10"/>
        <v>11</v>
      </c>
      <c r="D63" s="1">
        <f t="shared" si="10"/>
        <v>16</v>
      </c>
      <c r="E63" s="1" t="e">
        <f t="shared" si="10"/>
        <v>#VALUE!</v>
      </c>
      <c r="F63" s="3">
        <f>IF(Table156[[#This Row],[seq]]&gt;=Table156[[#Totals],[seq]],'Data In'!B69,"")</f>
        <v>1595.76</v>
      </c>
      <c r="G63" s="4">
        <f>'Data In'!C69</f>
        <v>0.86</v>
      </c>
      <c r="H63" s="3" t="e">
        <f t="shared" si="4"/>
        <v>#VALUE!</v>
      </c>
      <c r="I63" s="1" t="b">
        <f t="shared" si="9"/>
        <v>0</v>
      </c>
      <c r="J63" s="1">
        <f>IF(Table156[[#This Row],[Rising Through Threshold]],Table156[[#This Row],[Start time]],J62)</f>
        <v>994.8</v>
      </c>
      <c r="K63" s="1" t="str">
        <f>IF(AND(Table156[[#This Row],[Rising Through Threshold]],J62&gt;0),J63-J62,"")</f>
        <v/>
      </c>
      <c r="L63" s="1">
        <f>IF(Table156[[#This Row],[Voltage]]&gt;Threshold,1,0)</f>
        <v>0</v>
      </c>
      <c r="M63" s="1" t="b">
        <f>AND(Table156[[#This Row],[Last]]&gt;0,Table156[[#This Row],[Last]]&lt;MAX(Table156[Last]))</f>
        <v>1</v>
      </c>
      <c r="N63" s="41" t="str">
        <f>'Data In'!D69</f>
        <v>a</v>
      </c>
      <c r="O63" s="41" t="str">
        <f>'Data In'!E69</f>
        <v>a</v>
      </c>
      <c r="P63" s="41" t="e">
        <f t="shared" si="5"/>
        <v>#VALUE!</v>
      </c>
      <c r="Q63" s="41" t="e">
        <f t="shared" si="8"/>
        <v>#DIV/0!</v>
      </c>
      <c r="R63" s="41" t="e">
        <f>IF(Table156[[#This Row],[Rising Through Threshold2]],Table156[[#This Row],[Start time2]],R62)</f>
        <v>#DIV/0!</v>
      </c>
      <c r="S63" s="41" t="e">
        <f>IF(AND(Table156[[#This Row],[Rising Through Threshold2]],R62&gt;0),R63-R62,"")</f>
        <v>#DIV/0!</v>
      </c>
      <c r="T63" s="41" t="e">
        <f>IF(Table156[[#This Row],[Voltage2]]&gt;Threshold2,1,0)</f>
        <v>#DIV/0!</v>
      </c>
      <c r="U63" s="41" t="e">
        <f>AND(Table156[[#This Row],[Last2]]&gt;0,Table156[[#This Row],[Last2]]&lt;MAX(Table156[Last2]))</f>
        <v>#DIV/0!</v>
      </c>
      <c r="V63" s="41" t="b">
        <f>OR('Data In'!B69&gt;'Data In'!B68)</f>
        <v>1</v>
      </c>
      <c r="W63" s="41">
        <f>COUNTIF($V$2:V63,"false")</f>
        <v>1</v>
      </c>
      <c r="X63" s="57"/>
    </row>
    <row r="64" spans="1:24" x14ac:dyDescent="0.45">
      <c r="A64" s="1" t="s">
        <v>82</v>
      </c>
      <c r="B64" s="1">
        <f t="shared" si="2"/>
        <v>6</v>
      </c>
      <c r="C64" s="1">
        <f t="shared" ref="C64:E127" si="11">FIND(":",$A64,B64+1)</f>
        <v>11</v>
      </c>
      <c r="D64" s="1">
        <f t="shared" si="11"/>
        <v>16</v>
      </c>
      <c r="E64" s="1" t="e">
        <f t="shared" si="11"/>
        <v>#VALUE!</v>
      </c>
      <c r="F64" s="3">
        <f>IF(Table156[[#This Row],[seq]]&gt;=Table156[[#Totals],[seq]],'Data In'!B70,"")</f>
        <v>1621.92</v>
      </c>
      <c r="G64" s="4">
        <f>'Data In'!C70</f>
        <v>1.1200000000000001</v>
      </c>
      <c r="H64" s="3" t="e">
        <f t="shared" si="4"/>
        <v>#VALUE!</v>
      </c>
      <c r="I64" s="1" t="b">
        <f t="shared" si="9"/>
        <v>0</v>
      </c>
      <c r="J64" s="1">
        <f>IF(Table156[[#This Row],[Rising Through Threshold]],Table156[[#This Row],[Start time]],J63)</f>
        <v>994.8</v>
      </c>
      <c r="K64" s="1" t="str">
        <f>IF(AND(Table156[[#This Row],[Rising Through Threshold]],J63&gt;0),J64-J63,"")</f>
        <v/>
      </c>
      <c r="L64" s="1">
        <f>IF(Table156[[#This Row],[Voltage]]&gt;Threshold,1,0)</f>
        <v>0</v>
      </c>
      <c r="M64" s="1" t="b">
        <f>AND(Table156[[#This Row],[Last]]&gt;0,Table156[[#This Row],[Last]]&lt;MAX(Table156[Last]))</f>
        <v>1</v>
      </c>
      <c r="N64" s="41" t="str">
        <f>'Data In'!D70</f>
        <v>a</v>
      </c>
      <c r="O64" s="41" t="str">
        <f>'Data In'!E70</f>
        <v>a</v>
      </c>
      <c r="P64" s="41" t="e">
        <f t="shared" si="5"/>
        <v>#VALUE!</v>
      </c>
      <c r="Q64" s="41" t="e">
        <f t="shared" si="8"/>
        <v>#DIV/0!</v>
      </c>
      <c r="R64" s="41" t="e">
        <f>IF(Table156[[#This Row],[Rising Through Threshold2]],Table156[[#This Row],[Start time2]],R63)</f>
        <v>#DIV/0!</v>
      </c>
      <c r="S64" s="41" t="e">
        <f>IF(AND(Table156[[#This Row],[Rising Through Threshold2]],R63&gt;0),R64-R63,"")</f>
        <v>#DIV/0!</v>
      </c>
      <c r="T64" s="41" t="e">
        <f>IF(Table156[[#This Row],[Voltage2]]&gt;Threshold2,1,0)</f>
        <v>#DIV/0!</v>
      </c>
      <c r="U64" s="41" t="e">
        <f>AND(Table156[[#This Row],[Last2]]&gt;0,Table156[[#This Row],[Last2]]&lt;MAX(Table156[Last2]))</f>
        <v>#DIV/0!</v>
      </c>
      <c r="V64" s="41" t="b">
        <f>OR('Data In'!B70&gt;'Data In'!B69)</f>
        <v>1</v>
      </c>
      <c r="W64" s="41">
        <f>COUNTIF($V$2:V64,"false")</f>
        <v>1</v>
      </c>
      <c r="X64" s="57"/>
    </row>
    <row r="65" spans="1:24" x14ac:dyDescent="0.45">
      <c r="A65" s="1" t="s">
        <v>83</v>
      </c>
      <c r="B65" s="1">
        <f t="shared" si="2"/>
        <v>6</v>
      </c>
      <c r="C65" s="1">
        <f t="shared" si="11"/>
        <v>11</v>
      </c>
      <c r="D65" s="1">
        <f t="shared" si="11"/>
        <v>16</v>
      </c>
      <c r="E65" s="1" t="e">
        <f t="shared" si="11"/>
        <v>#VALUE!</v>
      </c>
      <c r="F65" s="3">
        <f>IF(Table156[[#This Row],[seq]]&gt;=Table156[[#Totals],[seq]],'Data In'!B71,"")</f>
        <v>1648.8</v>
      </c>
      <c r="G65" s="4">
        <f>'Data In'!C71</f>
        <v>1.39</v>
      </c>
      <c r="H65" s="3" t="e">
        <f t="shared" si="4"/>
        <v>#VALUE!</v>
      </c>
      <c r="I65" s="1" t="b">
        <f t="shared" si="9"/>
        <v>0</v>
      </c>
      <c r="J65" s="1">
        <f>IF(Table156[[#This Row],[Rising Through Threshold]],Table156[[#This Row],[Start time]],J64)</f>
        <v>994.8</v>
      </c>
      <c r="K65" s="1" t="str">
        <f>IF(AND(Table156[[#This Row],[Rising Through Threshold]],J64&gt;0),J65-J64,"")</f>
        <v/>
      </c>
      <c r="L65" s="1">
        <f>IF(Table156[[#This Row],[Voltage]]&gt;Threshold,1,0)</f>
        <v>0</v>
      </c>
      <c r="M65" s="1" t="b">
        <f>AND(Table156[[#This Row],[Last]]&gt;0,Table156[[#This Row],[Last]]&lt;MAX(Table156[Last]))</f>
        <v>1</v>
      </c>
      <c r="N65" s="41" t="str">
        <f>'Data In'!D71</f>
        <v>a</v>
      </c>
      <c r="O65" s="41" t="str">
        <f>'Data In'!E71</f>
        <v>a</v>
      </c>
      <c r="P65" s="41" t="e">
        <f t="shared" si="5"/>
        <v>#VALUE!</v>
      </c>
      <c r="Q65" s="41" t="e">
        <f t="shared" si="8"/>
        <v>#DIV/0!</v>
      </c>
      <c r="R65" s="41" t="e">
        <f>IF(Table156[[#This Row],[Rising Through Threshold2]],Table156[[#This Row],[Start time2]],R64)</f>
        <v>#DIV/0!</v>
      </c>
      <c r="S65" s="41" t="e">
        <f>IF(AND(Table156[[#This Row],[Rising Through Threshold2]],R64&gt;0),R65-R64,"")</f>
        <v>#DIV/0!</v>
      </c>
      <c r="T65" s="41" t="e">
        <f>IF(Table156[[#This Row],[Voltage2]]&gt;Threshold2,1,0)</f>
        <v>#DIV/0!</v>
      </c>
      <c r="U65" s="41" t="e">
        <f>AND(Table156[[#This Row],[Last2]]&gt;0,Table156[[#This Row],[Last2]]&lt;MAX(Table156[Last2]))</f>
        <v>#DIV/0!</v>
      </c>
      <c r="V65" s="41" t="b">
        <f>OR('Data In'!B71&gt;'Data In'!B70)</f>
        <v>1</v>
      </c>
      <c r="W65" s="41">
        <f>COUNTIF($V$2:V65,"false")</f>
        <v>1</v>
      </c>
      <c r="X65" s="57"/>
    </row>
    <row r="66" spans="1:24" x14ac:dyDescent="0.45">
      <c r="A66" s="1" t="s">
        <v>84</v>
      </c>
      <c r="B66" s="1">
        <f t="shared" si="2"/>
        <v>6</v>
      </c>
      <c r="C66" s="1">
        <f t="shared" si="11"/>
        <v>11</v>
      </c>
      <c r="D66" s="1">
        <f t="shared" si="11"/>
        <v>16</v>
      </c>
      <c r="E66" s="1" t="e">
        <f t="shared" si="11"/>
        <v>#VALUE!</v>
      </c>
      <c r="F66" s="3">
        <f>IF(Table156[[#This Row],[seq]]&gt;=Table156[[#Totals],[seq]],'Data In'!B72,"")</f>
        <v>1674.24</v>
      </c>
      <c r="G66" s="4">
        <f>'Data In'!C72</f>
        <v>1.65</v>
      </c>
      <c r="H66" s="3" t="e">
        <f t="shared" si="4"/>
        <v>#VALUE!</v>
      </c>
      <c r="I66" s="1" t="b">
        <f t="shared" si="9"/>
        <v>0</v>
      </c>
      <c r="J66" s="1">
        <f>IF(Table156[[#This Row],[Rising Through Threshold]],Table156[[#This Row],[Start time]],J65)</f>
        <v>994.8</v>
      </c>
      <c r="K66" s="1" t="str">
        <f>IF(AND(Table156[[#This Row],[Rising Through Threshold]],J65&gt;0),J66-J65,"")</f>
        <v/>
      </c>
      <c r="L66" s="1">
        <f>IF(Table156[[#This Row],[Voltage]]&gt;Threshold,1,0)</f>
        <v>0</v>
      </c>
      <c r="M66" s="1" t="b">
        <f>AND(Table156[[#This Row],[Last]]&gt;0,Table156[[#This Row],[Last]]&lt;MAX(Table156[Last]))</f>
        <v>1</v>
      </c>
      <c r="N66" s="41" t="str">
        <f>'Data In'!D72</f>
        <v>a</v>
      </c>
      <c r="O66" s="41" t="str">
        <f>'Data In'!E72</f>
        <v>a</v>
      </c>
      <c r="P66" s="41" t="e">
        <f t="shared" si="5"/>
        <v>#VALUE!</v>
      </c>
      <c r="Q66" s="41" t="e">
        <f t="shared" ref="Q66:Q97" si="12">AND(O65&lt;Threshold2,O66&gt;Threshold2)</f>
        <v>#DIV/0!</v>
      </c>
      <c r="R66" s="41" t="e">
        <f>IF(Table156[[#This Row],[Rising Through Threshold2]],Table156[[#This Row],[Start time2]],R65)</f>
        <v>#DIV/0!</v>
      </c>
      <c r="S66" s="41" t="e">
        <f>IF(AND(Table156[[#This Row],[Rising Through Threshold2]],R65&gt;0),R66-R65,"")</f>
        <v>#DIV/0!</v>
      </c>
      <c r="T66" s="41" t="e">
        <f>IF(Table156[[#This Row],[Voltage2]]&gt;Threshold2,1,0)</f>
        <v>#DIV/0!</v>
      </c>
      <c r="U66" s="41" t="e">
        <f>AND(Table156[[#This Row],[Last2]]&gt;0,Table156[[#This Row],[Last2]]&lt;MAX(Table156[Last2]))</f>
        <v>#DIV/0!</v>
      </c>
      <c r="V66" s="41" t="b">
        <f>OR('Data In'!B72&gt;'Data In'!B71)</f>
        <v>1</v>
      </c>
      <c r="W66" s="41">
        <f>COUNTIF($V$2:V66,"false")</f>
        <v>1</v>
      </c>
      <c r="X66" s="57"/>
    </row>
    <row r="67" spans="1:24" x14ac:dyDescent="0.45">
      <c r="A67" s="1" t="s">
        <v>85</v>
      </c>
      <c r="B67" s="1">
        <f t="shared" ref="B67:B130" si="13">FIND(":",$A67,1)</f>
        <v>6</v>
      </c>
      <c r="C67" s="1">
        <f t="shared" si="11"/>
        <v>11</v>
      </c>
      <c r="D67" s="1">
        <f t="shared" si="11"/>
        <v>16</v>
      </c>
      <c r="E67" s="1" t="e">
        <f t="shared" si="11"/>
        <v>#VALUE!</v>
      </c>
      <c r="F67" s="3">
        <f>IF(Table156[[#This Row],[seq]]&gt;=Table156[[#Totals],[seq]],'Data In'!B73,"")</f>
        <v>1700.4</v>
      </c>
      <c r="G67" s="4">
        <f>'Data In'!C73</f>
        <v>1.9</v>
      </c>
      <c r="H67" s="3" t="e">
        <f t="shared" ref="H67:H130" si="14">_xlfn.NUMBERVALUE(MID($A67,E67+1,1000))</f>
        <v>#VALUE!</v>
      </c>
      <c r="I67" s="1" t="b">
        <f t="shared" si="9"/>
        <v>0</v>
      </c>
      <c r="J67" s="1">
        <f>IF(Table156[[#This Row],[Rising Through Threshold]],Table156[[#This Row],[Start time]],J66)</f>
        <v>994.8</v>
      </c>
      <c r="K67" s="1" t="str">
        <f>IF(AND(Table156[[#This Row],[Rising Through Threshold]],J66&gt;0),J67-J66,"")</f>
        <v/>
      </c>
      <c r="L67" s="1">
        <f>IF(Table156[[#This Row],[Voltage]]&gt;Threshold,1,0)</f>
        <v>0</v>
      </c>
      <c r="M67" s="1" t="b">
        <f>AND(Table156[[#This Row],[Last]]&gt;0,Table156[[#This Row],[Last]]&lt;MAX(Table156[Last]))</f>
        <v>1</v>
      </c>
      <c r="N67" s="41" t="str">
        <f>'Data In'!D73</f>
        <v>a</v>
      </c>
      <c r="O67" s="41" t="str">
        <f>'Data In'!E73</f>
        <v>a</v>
      </c>
      <c r="P67" s="41" t="e">
        <f t="shared" ref="P67:P130" si="15">_xlfn.NUMBERVALUE(MID($A67,K67+1,1000))</f>
        <v>#VALUE!</v>
      </c>
      <c r="Q67" s="41" t="e">
        <f t="shared" si="12"/>
        <v>#DIV/0!</v>
      </c>
      <c r="R67" s="41" t="e">
        <f>IF(Table156[[#This Row],[Rising Through Threshold2]],Table156[[#This Row],[Start time2]],R66)</f>
        <v>#DIV/0!</v>
      </c>
      <c r="S67" s="41" t="e">
        <f>IF(AND(Table156[[#This Row],[Rising Through Threshold2]],R66&gt;0),R67-R66,"")</f>
        <v>#DIV/0!</v>
      </c>
      <c r="T67" s="41" t="e">
        <f>IF(Table156[[#This Row],[Voltage2]]&gt;Threshold2,1,0)</f>
        <v>#DIV/0!</v>
      </c>
      <c r="U67" s="41" t="e">
        <f>AND(Table156[[#This Row],[Last2]]&gt;0,Table156[[#This Row],[Last2]]&lt;MAX(Table156[Last2]))</f>
        <v>#DIV/0!</v>
      </c>
      <c r="V67" s="41" t="b">
        <f>OR('Data In'!B73&gt;'Data In'!B72)</f>
        <v>1</v>
      </c>
      <c r="W67" s="41">
        <f>COUNTIF($V$2:V67,"false")</f>
        <v>1</v>
      </c>
      <c r="X67" s="57"/>
    </row>
    <row r="68" spans="1:24" x14ac:dyDescent="0.45">
      <c r="A68" s="1" t="s">
        <v>86</v>
      </c>
      <c r="B68" s="1">
        <f t="shared" si="13"/>
        <v>6</v>
      </c>
      <c r="C68" s="1">
        <f t="shared" si="11"/>
        <v>11</v>
      </c>
      <c r="D68" s="1">
        <f t="shared" si="11"/>
        <v>16</v>
      </c>
      <c r="E68" s="1" t="e">
        <f t="shared" si="11"/>
        <v>#VALUE!</v>
      </c>
      <c r="F68" s="3">
        <f>IF(Table156[[#This Row],[seq]]&gt;=Table156[[#Totals],[seq]],'Data In'!B74,"")</f>
        <v>1726.56</v>
      </c>
      <c r="G68" s="4">
        <f>'Data In'!C74</f>
        <v>2.16</v>
      </c>
      <c r="H68" s="3" t="e">
        <f t="shared" si="14"/>
        <v>#VALUE!</v>
      </c>
      <c r="I68" s="1" t="b">
        <f t="shared" si="9"/>
        <v>0</v>
      </c>
      <c r="J68" s="1">
        <f>IF(Table156[[#This Row],[Rising Through Threshold]],Table156[[#This Row],[Start time]],J67)</f>
        <v>994.8</v>
      </c>
      <c r="K68" s="1" t="str">
        <f>IF(AND(Table156[[#This Row],[Rising Through Threshold]],J67&gt;0),J68-J67,"")</f>
        <v/>
      </c>
      <c r="L68" s="1">
        <f>IF(Table156[[#This Row],[Voltage]]&gt;Threshold,1,0)</f>
        <v>0</v>
      </c>
      <c r="M68" s="1" t="b">
        <f>AND(Table156[[#This Row],[Last]]&gt;0,Table156[[#This Row],[Last]]&lt;MAX(Table156[Last]))</f>
        <v>1</v>
      </c>
      <c r="N68" s="41" t="str">
        <f>'Data In'!D74</f>
        <v>a</v>
      </c>
      <c r="O68" s="41" t="str">
        <f>'Data In'!E74</f>
        <v>a</v>
      </c>
      <c r="P68" s="41" t="e">
        <f t="shared" si="15"/>
        <v>#VALUE!</v>
      </c>
      <c r="Q68" s="41" t="e">
        <f t="shared" si="12"/>
        <v>#DIV/0!</v>
      </c>
      <c r="R68" s="41" t="e">
        <f>IF(Table156[[#This Row],[Rising Through Threshold2]],Table156[[#This Row],[Start time2]],R67)</f>
        <v>#DIV/0!</v>
      </c>
      <c r="S68" s="41" t="e">
        <f>IF(AND(Table156[[#This Row],[Rising Through Threshold2]],R67&gt;0),R68-R67,"")</f>
        <v>#DIV/0!</v>
      </c>
      <c r="T68" s="41" t="e">
        <f>IF(Table156[[#This Row],[Voltage2]]&gt;Threshold2,1,0)</f>
        <v>#DIV/0!</v>
      </c>
      <c r="U68" s="41" t="e">
        <f>AND(Table156[[#This Row],[Last2]]&gt;0,Table156[[#This Row],[Last2]]&lt;MAX(Table156[Last2]))</f>
        <v>#DIV/0!</v>
      </c>
      <c r="V68" s="41" t="b">
        <f>OR('Data In'!B74&gt;'Data In'!B73)</f>
        <v>1</v>
      </c>
      <c r="W68" s="41">
        <f>COUNTIF($V$2:V68,"false")</f>
        <v>1</v>
      </c>
      <c r="X68" s="57"/>
    </row>
    <row r="69" spans="1:24" x14ac:dyDescent="0.45">
      <c r="A69" s="1" t="s">
        <v>87</v>
      </c>
      <c r="B69" s="1">
        <f t="shared" si="13"/>
        <v>6</v>
      </c>
      <c r="C69" s="1">
        <f t="shared" si="11"/>
        <v>11</v>
      </c>
      <c r="D69" s="1">
        <f t="shared" si="11"/>
        <v>16</v>
      </c>
      <c r="E69" s="1" t="e">
        <f t="shared" si="11"/>
        <v>#VALUE!</v>
      </c>
      <c r="F69" s="3">
        <f>IF(Table156[[#This Row],[seq]]&gt;=Table156[[#Totals],[seq]],'Data In'!B75,"")</f>
        <v>1752.72</v>
      </c>
      <c r="G69" s="4">
        <f>'Data In'!C75</f>
        <v>2.37</v>
      </c>
      <c r="H69" s="3" t="e">
        <f t="shared" si="14"/>
        <v>#VALUE!</v>
      </c>
      <c r="I69" s="1" t="b">
        <f t="shared" si="9"/>
        <v>1</v>
      </c>
      <c r="J69" s="1">
        <f>IF(Table156[[#This Row],[Rising Through Threshold]],Table156[[#This Row],[Start time]],J68)</f>
        <v>1752.72</v>
      </c>
      <c r="K69" s="1">
        <f>IF(AND(Table156[[#This Row],[Rising Through Threshold]],J68&gt;0),J69-J68,"")</f>
        <v>757.92000000000007</v>
      </c>
      <c r="L69" s="1">
        <f>IF(Table156[[#This Row],[Voltage]]&gt;Threshold,1,0)</f>
        <v>1</v>
      </c>
      <c r="M69" s="1" t="b">
        <f>AND(Table156[[#This Row],[Last]]&gt;0,Table156[[#This Row],[Last]]&lt;MAX(Table156[Last]))</f>
        <v>1</v>
      </c>
      <c r="N69" s="41" t="str">
        <f>'Data In'!D75</f>
        <v>a</v>
      </c>
      <c r="O69" s="41" t="str">
        <f>'Data In'!E75</f>
        <v>a</v>
      </c>
      <c r="P69" s="41">
        <f t="shared" si="15"/>
        <v>0</v>
      </c>
      <c r="Q69" s="41" t="e">
        <f t="shared" si="12"/>
        <v>#DIV/0!</v>
      </c>
      <c r="R69" s="41" t="e">
        <f>IF(Table156[[#This Row],[Rising Through Threshold2]],Table156[[#This Row],[Start time2]],R68)</f>
        <v>#DIV/0!</v>
      </c>
      <c r="S69" s="41" t="e">
        <f>IF(AND(Table156[[#This Row],[Rising Through Threshold2]],R68&gt;0),R69-R68,"")</f>
        <v>#DIV/0!</v>
      </c>
      <c r="T69" s="41" t="e">
        <f>IF(Table156[[#This Row],[Voltage2]]&gt;Threshold2,1,0)</f>
        <v>#DIV/0!</v>
      </c>
      <c r="U69" s="41" t="e">
        <f>AND(Table156[[#This Row],[Last2]]&gt;0,Table156[[#This Row],[Last2]]&lt;MAX(Table156[Last2]))</f>
        <v>#DIV/0!</v>
      </c>
      <c r="V69" s="41" t="b">
        <f>OR('Data In'!B75&gt;'Data In'!B74)</f>
        <v>1</v>
      </c>
      <c r="W69" s="41">
        <f>COUNTIF($V$2:V69,"false")</f>
        <v>1</v>
      </c>
      <c r="X69" s="57"/>
    </row>
    <row r="70" spans="1:24" x14ac:dyDescent="0.45">
      <c r="A70" s="1" t="s">
        <v>88</v>
      </c>
      <c r="B70" s="1">
        <f t="shared" si="13"/>
        <v>6</v>
      </c>
      <c r="C70" s="1">
        <f t="shared" si="11"/>
        <v>11</v>
      </c>
      <c r="D70" s="1">
        <f t="shared" si="11"/>
        <v>16</v>
      </c>
      <c r="E70" s="1" t="e">
        <f t="shared" si="11"/>
        <v>#VALUE!</v>
      </c>
      <c r="F70" s="3">
        <f>IF(Table156[[#This Row],[seq]]&gt;=Table156[[#Totals],[seq]],'Data In'!B76,"")</f>
        <v>1778.88</v>
      </c>
      <c r="G70" s="4">
        <f>'Data In'!C76</f>
        <v>2.59</v>
      </c>
      <c r="H70" s="3" t="e">
        <f t="shared" si="14"/>
        <v>#VALUE!</v>
      </c>
      <c r="I70" s="1" t="b">
        <f t="shared" si="9"/>
        <v>0</v>
      </c>
      <c r="J70" s="1">
        <f>IF(Table156[[#This Row],[Rising Through Threshold]],Table156[[#This Row],[Start time]],J69)</f>
        <v>1752.72</v>
      </c>
      <c r="K70" s="1" t="str">
        <f>IF(AND(Table156[[#This Row],[Rising Through Threshold]],J69&gt;0),J70-J69,"")</f>
        <v/>
      </c>
      <c r="L70" s="1">
        <f>IF(Table156[[#This Row],[Voltage]]&gt;Threshold,1,0)</f>
        <v>1</v>
      </c>
      <c r="M70" s="1" t="b">
        <f>AND(Table156[[#This Row],[Last]]&gt;0,Table156[[#This Row],[Last]]&lt;MAX(Table156[Last]))</f>
        <v>1</v>
      </c>
      <c r="N70" s="41" t="str">
        <f>'Data In'!D76</f>
        <v>a</v>
      </c>
      <c r="O70" s="41" t="str">
        <f>'Data In'!E76</f>
        <v>a</v>
      </c>
      <c r="P70" s="41" t="e">
        <f t="shared" si="15"/>
        <v>#VALUE!</v>
      </c>
      <c r="Q70" s="41" t="e">
        <f t="shared" si="12"/>
        <v>#DIV/0!</v>
      </c>
      <c r="R70" s="41" t="e">
        <f>IF(Table156[[#This Row],[Rising Through Threshold2]],Table156[[#This Row],[Start time2]],R69)</f>
        <v>#DIV/0!</v>
      </c>
      <c r="S70" s="41" t="e">
        <f>IF(AND(Table156[[#This Row],[Rising Through Threshold2]],R69&gt;0),R70-R69,"")</f>
        <v>#DIV/0!</v>
      </c>
      <c r="T70" s="41" t="e">
        <f>IF(Table156[[#This Row],[Voltage2]]&gt;Threshold2,1,0)</f>
        <v>#DIV/0!</v>
      </c>
      <c r="U70" s="41" t="e">
        <f>AND(Table156[[#This Row],[Last2]]&gt;0,Table156[[#This Row],[Last2]]&lt;MAX(Table156[Last2]))</f>
        <v>#DIV/0!</v>
      </c>
      <c r="V70" s="41" t="b">
        <f>OR('Data In'!B76&gt;'Data In'!B75)</f>
        <v>1</v>
      </c>
      <c r="W70" s="41">
        <f>COUNTIF($V$2:V70,"false")</f>
        <v>1</v>
      </c>
      <c r="X70" s="57"/>
    </row>
    <row r="71" spans="1:24" x14ac:dyDescent="0.45">
      <c r="A71" s="1" t="s">
        <v>89</v>
      </c>
      <c r="B71" s="1">
        <f t="shared" si="13"/>
        <v>6</v>
      </c>
      <c r="C71" s="1">
        <f t="shared" si="11"/>
        <v>11</v>
      </c>
      <c r="D71" s="1">
        <f t="shared" si="11"/>
        <v>16</v>
      </c>
      <c r="E71" s="1" t="e">
        <f t="shared" si="11"/>
        <v>#VALUE!</v>
      </c>
      <c r="F71" s="3">
        <f>IF(Table156[[#This Row],[seq]]&gt;=Table156[[#Totals],[seq]],'Data In'!B77,"")</f>
        <v>1805.4</v>
      </c>
      <c r="G71" s="4">
        <f>'Data In'!C77</f>
        <v>2.76</v>
      </c>
      <c r="H71" s="3" t="e">
        <f t="shared" si="14"/>
        <v>#VALUE!</v>
      </c>
      <c r="I71" s="1" t="b">
        <f t="shared" si="9"/>
        <v>0</v>
      </c>
      <c r="J71" s="1">
        <f>IF(Table156[[#This Row],[Rising Through Threshold]],Table156[[#This Row],[Start time]],J70)</f>
        <v>1752.72</v>
      </c>
      <c r="K71" s="1" t="str">
        <f>IF(AND(Table156[[#This Row],[Rising Through Threshold]],J70&gt;0),J71-J70,"")</f>
        <v/>
      </c>
      <c r="L71" s="1">
        <f>IF(Table156[[#This Row],[Voltage]]&gt;Threshold,1,0)</f>
        <v>1</v>
      </c>
      <c r="M71" s="1" t="b">
        <f>AND(Table156[[#This Row],[Last]]&gt;0,Table156[[#This Row],[Last]]&lt;MAX(Table156[Last]))</f>
        <v>1</v>
      </c>
      <c r="N71" s="41" t="str">
        <f>'Data In'!D77</f>
        <v>a</v>
      </c>
      <c r="O71" s="41" t="str">
        <f>'Data In'!E77</f>
        <v>a</v>
      </c>
      <c r="P71" s="41" t="e">
        <f t="shared" si="15"/>
        <v>#VALUE!</v>
      </c>
      <c r="Q71" s="41" t="e">
        <f t="shared" si="12"/>
        <v>#DIV/0!</v>
      </c>
      <c r="R71" s="41" t="e">
        <f>IF(Table156[[#This Row],[Rising Through Threshold2]],Table156[[#This Row],[Start time2]],R70)</f>
        <v>#DIV/0!</v>
      </c>
      <c r="S71" s="41" t="e">
        <f>IF(AND(Table156[[#This Row],[Rising Through Threshold2]],R70&gt;0),R71-R70,"")</f>
        <v>#DIV/0!</v>
      </c>
      <c r="T71" s="41" t="e">
        <f>IF(Table156[[#This Row],[Voltage2]]&gt;Threshold2,1,0)</f>
        <v>#DIV/0!</v>
      </c>
      <c r="U71" s="41" t="e">
        <f>AND(Table156[[#This Row],[Last2]]&gt;0,Table156[[#This Row],[Last2]]&lt;MAX(Table156[Last2]))</f>
        <v>#DIV/0!</v>
      </c>
      <c r="V71" s="41" t="b">
        <f>OR('Data In'!B77&gt;'Data In'!B76)</f>
        <v>1</v>
      </c>
      <c r="W71" s="41">
        <f>COUNTIF($V$2:V71,"false")</f>
        <v>1</v>
      </c>
      <c r="X71" s="57"/>
    </row>
    <row r="72" spans="1:24" x14ac:dyDescent="0.45">
      <c r="A72" s="1" t="s">
        <v>90</v>
      </c>
      <c r="B72" s="1">
        <f t="shared" si="13"/>
        <v>6</v>
      </c>
      <c r="C72" s="1">
        <f t="shared" si="11"/>
        <v>11</v>
      </c>
      <c r="D72" s="1">
        <f t="shared" si="11"/>
        <v>16</v>
      </c>
      <c r="E72" s="1" t="e">
        <f t="shared" si="11"/>
        <v>#VALUE!</v>
      </c>
      <c r="F72" s="3">
        <f>IF(Table156[[#This Row],[seq]]&gt;=Table156[[#Totals],[seq]],'Data In'!B78,"")</f>
        <v>1831.2</v>
      </c>
      <c r="G72" s="4">
        <f>'Data In'!C78</f>
        <v>2.94</v>
      </c>
      <c r="H72" s="3" t="e">
        <f t="shared" si="14"/>
        <v>#VALUE!</v>
      </c>
      <c r="I72" s="1" t="b">
        <f t="shared" si="9"/>
        <v>0</v>
      </c>
      <c r="J72" s="1">
        <f>IF(Table156[[#This Row],[Rising Through Threshold]],Table156[[#This Row],[Start time]],J71)</f>
        <v>1752.72</v>
      </c>
      <c r="K72" s="1" t="str">
        <f>IF(AND(Table156[[#This Row],[Rising Through Threshold]],J71&gt;0),J72-J71,"")</f>
        <v/>
      </c>
      <c r="L72" s="1">
        <f>IF(Table156[[#This Row],[Voltage]]&gt;Threshold,1,0)</f>
        <v>1</v>
      </c>
      <c r="M72" s="1" t="b">
        <f>AND(Table156[[#This Row],[Last]]&gt;0,Table156[[#This Row],[Last]]&lt;MAX(Table156[Last]))</f>
        <v>1</v>
      </c>
      <c r="N72" s="41" t="str">
        <f>'Data In'!D78</f>
        <v>a</v>
      </c>
      <c r="O72" s="41" t="str">
        <f>'Data In'!E78</f>
        <v>a</v>
      </c>
      <c r="P72" s="41" t="e">
        <f t="shared" si="15"/>
        <v>#VALUE!</v>
      </c>
      <c r="Q72" s="41" t="e">
        <f t="shared" si="12"/>
        <v>#DIV/0!</v>
      </c>
      <c r="R72" s="41" t="e">
        <f>IF(Table156[[#This Row],[Rising Through Threshold2]],Table156[[#This Row],[Start time2]],R71)</f>
        <v>#DIV/0!</v>
      </c>
      <c r="S72" s="41" t="e">
        <f>IF(AND(Table156[[#This Row],[Rising Through Threshold2]],R71&gt;0),R72-R71,"")</f>
        <v>#DIV/0!</v>
      </c>
      <c r="T72" s="41" t="e">
        <f>IF(Table156[[#This Row],[Voltage2]]&gt;Threshold2,1,0)</f>
        <v>#DIV/0!</v>
      </c>
      <c r="U72" s="41" t="e">
        <f>AND(Table156[[#This Row],[Last2]]&gt;0,Table156[[#This Row],[Last2]]&lt;MAX(Table156[Last2]))</f>
        <v>#DIV/0!</v>
      </c>
      <c r="V72" s="41" t="b">
        <f>OR('Data In'!B78&gt;'Data In'!B77)</f>
        <v>1</v>
      </c>
      <c r="W72" s="41">
        <f>COUNTIF($V$2:V72,"false")</f>
        <v>1</v>
      </c>
      <c r="X72" s="57"/>
    </row>
    <row r="73" spans="1:24" x14ac:dyDescent="0.45">
      <c r="A73" s="1" t="s">
        <v>91</v>
      </c>
      <c r="B73" s="1">
        <f t="shared" si="13"/>
        <v>6</v>
      </c>
      <c r="C73" s="1">
        <f t="shared" si="11"/>
        <v>11</v>
      </c>
      <c r="D73" s="1">
        <f t="shared" si="11"/>
        <v>16</v>
      </c>
      <c r="E73" s="1" t="e">
        <f t="shared" si="11"/>
        <v>#VALUE!</v>
      </c>
      <c r="F73" s="3">
        <f>IF(Table156[[#This Row],[seq]]&gt;=Table156[[#Totals],[seq]],'Data In'!B79,"")</f>
        <v>1857.36</v>
      </c>
      <c r="G73" s="4">
        <f>'Data In'!C79</f>
        <v>3.1</v>
      </c>
      <c r="H73" s="3" t="e">
        <f t="shared" si="14"/>
        <v>#VALUE!</v>
      </c>
      <c r="I73" s="1" t="b">
        <f t="shared" si="9"/>
        <v>0</v>
      </c>
      <c r="J73" s="1">
        <f>IF(Table156[[#This Row],[Rising Through Threshold]],Table156[[#This Row],[Start time]],J72)</f>
        <v>1752.72</v>
      </c>
      <c r="K73" s="1" t="str">
        <f>IF(AND(Table156[[#This Row],[Rising Through Threshold]],J72&gt;0),J73-J72,"")</f>
        <v/>
      </c>
      <c r="L73" s="1">
        <f>IF(Table156[[#This Row],[Voltage]]&gt;Threshold,1,0)</f>
        <v>1</v>
      </c>
      <c r="M73" s="1" t="b">
        <f>AND(Table156[[#This Row],[Last]]&gt;0,Table156[[#This Row],[Last]]&lt;MAX(Table156[Last]))</f>
        <v>1</v>
      </c>
      <c r="N73" s="41" t="str">
        <f>'Data In'!D79</f>
        <v>a</v>
      </c>
      <c r="O73" s="41" t="str">
        <f>'Data In'!E79</f>
        <v>a</v>
      </c>
      <c r="P73" s="41" t="e">
        <f t="shared" si="15"/>
        <v>#VALUE!</v>
      </c>
      <c r="Q73" s="41" t="e">
        <f t="shared" si="12"/>
        <v>#DIV/0!</v>
      </c>
      <c r="R73" s="41" t="e">
        <f>IF(Table156[[#This Row],[Rising Through Threshold2]],Table156[[#This Row],[Start time2]],R72)</f>
        <v>#DIV/0!</v>
      </c>
      <c r="S73" s="41" t="e">
        <f>IF(AND(Table156[[#This Row],[Rising Through Threshold2]],R72&gt;0),R73-R72,"")</f>
        <v>#DIV/0!</v>
      </c>
      <c r="T73" s="41" t="e">
        <f>IF(Table156[[#This Row],[Voltage2]]&gt;Threshold2,1,0)</f>
        <v>#DIV/0!</v>
      </c>
      <c r="U73" s="41" t="e">
        <f>AND(Table156[[#This Row],[Last2]]&gt;0,Table156[[#This Row],[Last2]]&lt;MAX(Table156[Last2]))</f>
        <v>#DIV/0!</v>
      </c>
      <c r="V73" s="41" t="b">
        <f>OR('Data In'!B79&gt;'Data In'!B78)</f>
        <v>1</v>
      </c>
      <c r="W73" s="41">
        <f>COUNTIF($V$2:V73,"false")</f>
        <v>1</v>
      </c>
      <c r="X73" s="57"/>
    </row>
    <row r="74" spans="1:24" x14ac:dyDescent="0.45">
      <c r="A74" s="1" t="s">
        <v>92</v>
      </c>
      <c r="B74" s="1">
        <f t="shared" si="13"/>
        <v>6</v>
      </c>
      <c r="C74" s="1">
        <f t="shared" si="11"/>
        <v>11</v>
      </c>
      <c r="D74" s="1">
        <f t="shared" si="11"/>
        <v>16</v>
      </c>
      <c r="E74" s="1" t="e">
        <f t="shared" si="11"/>
        <v>#VALUE!</v>
      </c>
      <c r="F74" s="3">
        <f>IF(Table156[[#This Row],[seq]]&gt;=Table156[[#Totals],[seq]],'Data In'!B80,"")</f>
        <v>1883.52</v>
      </c>
      <c r="G74" s="4">
        <f>'Data In'!C80</f>
        <v>3.22</v>
      </c>
      <c r="H74" s="3" t="e">
        <f t="shared" si="14"/>
        <v>#VALUE!</v>
      </c>
      <c r="I74" s="1" t="b">
        <f t="shared" si="9"/>
        <v>0</v>
      </c>
      <c r="J74" s="1">
        <f>IF(Table156[[#This Row],[Rising Through Threshold]],Table156[[#This Row],[Start time]],J73)</f>
        <v>1752.72</v>
      </c>
      <c r="K74" s="1" t="str">
        <f>IF(AND(Table156[[#This Row],[Rising Through Threshold]],J73&gt;0),J74-J73,"")</f>
        <v/>
      </c>
      <c r="L74" s="1">
        <f>IF(Table156[[#This Row],[Voltage]]&gt;Threshold,1,0)</f>
        <v>1</v>
      </c>
      <c r="M74" s="1" t="b">
        <f>AND(Table156[[#This Row],[Last]]&gt;0,Table156[[#This Row],[Last]]&lt;MAX(Table156[Last]))</f>
        <v>1</v>
      </c>
      <c r="N74" s="41" t="str">
        <f>'Data In'!D80</f>
        <v>a</v>
      </c>
      <c r="O74" s="41" t="str">
        <f>'Data In'!E80</f>
        <v>a</v>
      </c>
      <c r="P74" s="41" t="e">
        <f t="shared" si="15"/>
        <v>#VALUE!</v>
      </c>
      <c r="Q74" s="41" t="e">
        <f t="shared" si="12"/>
        <v>#DIV/0!</v>
      </c>
      <c r="R74" s="41" t="e">
        <f>IF(Table156[[#This Row],[Rising Through Threshold2]],Table156[[#This Row],[Start time2]],R73)</f>
        <v>#DIV/0!</v>
      </c>
      <c r="S74" s="41" t="e">
        <f>IF(AND(Table156[[#This Row],[Rising Through Threshold2]],R73&gt;0),R74-R73,"")</f>
        <v>#DIV/0!</v>
      </c>
      <c r="T74" s="41" t="e">
        <f>IF(Table156[[#This Row],[Voltage2]]&gt;Threshold2,1,0)</f>
        <v>#DIV/0!</v>
      </c>
      <c r="U74" s="41" t="e">
        <f>AND(Table156[[#This Row],[Last2]]&gt;0,Table156[[#This Row],[Last2]]&lt;MAX(Table156[Last2]))</f>
        <v>#DIV/0!</v>
      </c>
      <c r="V74" s="41" t="b">
        <f>OR('Data In'!B80&gt;'Data In'!B79)</f>
        <v>1</v>
      </c>
      <c r="W74" s="41">
        <f>COUNTIF($V$2:V74,"false")</f>
        <v>1</v>
      </c>
      <c r="X74" s="57"/>
    </row>
    <row r="75" spans="1:24" x14ac:dyDescent="0.45">
      <c r="A75" s="1" t="s">
        <v>93</v>
      </c>
      <c r="B75" s="1">
        <f t="shared" si="13"/>
        <v>6</v>
      </c>
      <c r="C75" s="1">
        <f t="shared" si="11"/>
        <v>11</v>
      </c>
      <c r="D75" s="1">
        <f t="shared" si="11"/>
        <v>16</v>
      </c>
      <c r="E75" s="1" t="e">
        <f t="shared" si="11"/>
        <v>#VALUE!</v>
      </c>
      <c r="F75" s="3">
        <f>IF(Table156[[#This Row],[seq]]&gt;=Table156[[#Totals],[seq]],'Data In'!B81,"")</f>
        <v>1909.68</v>
      </c>
      <c r="G75" s="4">
        <f>'Data In'!C81</f>
        <v>3.35</v>
      </c>
      <c r="H75" s="3" t="e">
        <f t="shared" si="14"/>
        <v>#VALUE!</v>
      </c>
      <c r="I75" s="1" t="b">
        <f t="shared" si="9"/>
        <v>0</v>
      </c>
      <c r="J75" s="1">
        <f>IF(Table156[[#This Row],[Rising Through Threshold]],Table156[[#This Row],[Start time]],J74)</f>
        <v>1752.72</v>
      </c>
      <c r="K75" s="1" t="str">
        <f>IF(AND(Table156[[#This Row],[Rising Through Threshold]],J74&gt;0),J75-J74,"")</f>
        <v/>
      </c>
      <c r="L75" s="1">
        <f>IF(Table156[[#This Row],[Voltage]]&gt;Threshold,1,0)</f>
        <v>1</v>
      </c>
      <c r="M75" s="1" t="b">
        <f>AND(Table156[[#This Row],[Last]]&gt;0,Table156[[#This Row],[Last]]&lt;MAX(Table156[Last]))</f>
        <v>1</v>
      </c>
      <c r="N75" s="41" t="str">
        <f>'Data In'!D81</f>
        <v>a</v>
      </c>
      <c r="O75" s="41" t="str">
        <f>'Data In'!E81</f>
        <v>a</v>
      </c>
      <c r="P75" s="41" t="e">
        <f t="shared" si="15"/>
        <v>#VALUE!</v>
      </c>
      <c r="Q75" s="41" t="e">
        <f t="shared" si="12"/>
        <v>#DIV/0!</v>
      </c>
      <c r="R75" s="41" t="e">
        <f>IF(Table156[[#This Row],[Rising Through Threshold2]],Table156[[#This Row],[Start time2]],R74)</f>
        <v>#DIV/0!</v>
      </c>
      <c r="S75" s="41" t="e">
        <f>IF(AND(Table156[[#This Row],[Rising Through Threshold2]],R74&gt;0),R75-R74,"")</f>
        <v>#DIV/0!</v>
      </c>
      <c r="T75" s="41" t="e">
        <f>IF(Table156[[#This Row],[Voltage2]]&gt;Threshold2,1,0)</f>
        <v>#DIV/0!</v>
      </c>
      <c r="U75" s="41" t="e">
        <f>AND(Table156[[#This Row],[Last2]]&gt;0,Table156[[#This Row],[Last2]]&lt;MAX(Table156[Last2]))</f>
        <v>#DIV/0!</v>
      </c>
      <c r="V75" s="41" t="b">
        <f>OR('Data In'!B81&gt;'Data In'!B80)</f>
        <v>1</v>
      </c>
      <c r="W75" s="41">
        <f>COUNTIF($V$2:V75,"false")</f>
        <v>1</v>
      </c>
      <c r="X75" s="57"/>
    </row>
    <row r="76" spans="1:24" x14ac:dyDescent="0.45">
      <c r="A76" s="1" t="s">
        <v>94</v>
      </c>
      <c r="B76" s="1">
        <f t="shared" si="13"/>
        <v>6</v>
      </c>
      <c r="C76" s="1">
        <f t="shared" si="11"/>
        <v>11</v>
      </c>
      <c r="D76" s="1">
        <f t="shared" si="11"/>
        <v>16</v>
      </c>
      <c r="E76" s="1" t="e">
        <f t="shared" si="11"/>
        <v>#VALUE!</v>
      </c>
      <c r="F76" s="3">
        <f>IF(Table156[[#This Row],[seq]]&gt;=Table156[[#Totals],[seq]],'Data In'!B82,"")</f>
        <v>1935.84</v>
      </c>
      <c r="G76" s="4">
        <f>'Data In'!C82</f>
        <v>3.47</v>
      </c>
      <c r="H76" s="3" t="e">
        <f t="shared" si="14"/>
        <v>#VALUE!</v>
      </c>
      <c r="I76" s="1" t="b">
        <f t="shared" si="9"/>
        <v>0</v>
      </c>
      <c r="J76" s="1">
        <f>IF(Table156[[#This Row],[Rising Through Threshold]],Table156[[#This Row],[Start time]],J75)</f>
        <v>1752.72</v>
      </c>
      <c r="K76" s="1" t="str">
        <f>IF(AND(Table156[[#This Row],[Rising Through Threshold]],J75&gt;0),J76-J75,"")</f>
        <v/>
      </c>
      <c r="L76" s="1">
        <f>IF(Table156[[#This Row],[Voltage]]&gt;Threshold,1,0)</f>
        <v>1</v>
      </c>
      <c r="M76" s="1" t="b">
        <f>AND(Table156[[#This Row],[Last]]&gt;0,Table156[[#This Row],[Last]]&lt;MAX(Table156[Last]))</f>
        <v>1</v>
      </c>
      <c r="N76" s="41" t="str">
        <f>'Data In'!D82</f>
        <v>a</v>
      </c>
      <c r="O76" s="41" t="str">
        <f>'Data In'!E82</f>
        <v>a</v>
      </c>
      <c r="P76" s="41" t="e">
        <f t="shared" si="15"/>
        <v>#VALUE!</v>
      </c>
      <c r="Q76" s="41" t="e">
        <f t="shared" si="12"/>
        <v>#DIV/0!</v>
      </c>
      <c r="R76" s="41" t="e">
        <f>IF(Table156[[#This Row],[Rising Through Threshold2]],Table156[[#This Row],[Start time2]],R75)</f>
        <v>#DIV/0!</v>
      </c>
      <c r="S76" s="41" t="e">
        <f>IF(AND(Table156[[#This Row],[Rising Through Threshold2]],R75&gt;0),R76-R75,"")</f>
        <v>#DIV/0!</v>
      </c>
      <c r="T76" s="41" t="e">
        <f>IF(Table156[[#This Row],[Voltage2]]&gt;Threshold2,1,0)</f>
        <v>#DIV/0!</v>
      </c>
      <c r="U76" s="41" t="e">
        <f>AND(Table156[[#This Row],[Last2]]&gt;0,Table156[[#This Row],[Last2]]&lt;MAX(Table156[Last2]))</f>
        <v>#DIV/0!</v>
      </c>
      <c r="V76" s="41" t="b">
        <f>OR('Data In'!B82&gt;'Data In'!B81)</f>
        <v>1</v>
      </c>
      <c r="W76" s="41">
        <f>COUNTIF($V$2:V76,"false")</f>
        <v>1</v>
      </c>
      <c r="X76" s="57"/>
    </row>
    <row r="77" spans="1:24" x14ac:dyDescent="0.45">
      <c r="A77" s="1" t="s">
        <v>95</v>
      </c>
      <c r="B77" s="1">
        <f t="shared" si="13"/>
        <v>6</v>
      </c>
      <c r="C77" s="1">
        <f t="shared" si="11"/>
        <v>11</v>
      </c>
      <c r="D77" s="1">
        <f t="shared" si="11"/>
        <v>16</v>
      </c>
      <c r="E77" s="1" t="e">
        <f t="shared" si="11"/>
        <v>#VALUE!</v>
      </c>
      <c r="F77" s="3">
        <f>IF(Table156[[#This Row],[seq]]&gt;=Table156[[#Totals],[seq]],'Data In'!B83,"")</f>
        <v>1962</v>
      </c>
      <c r="G77" s="4">
        <f>'Data In'!C83</f>
        <v>3.57</v>
      </c>
      <c r="H77" s="3" t="e">
        <f t="shared" si="14"/>
        <v>#VALUE!</v>
      </c>
      <c r="I77" s="1" t="b">
        <f t="shared" si="9"/>
        <v>0</v>
      </c>
      <c r="J77" s="1">
        <f>IF(Table156[[#This Row],[Rising Through Threshold]],Table156[[#This Row],[Start time]],J76)</f>
        <v>1752.72</v>
      </c>
      <c r="K77" s="1" t="str">
        <f>IF(AND(Table156[[#This Row],[Rising Through Threshold]],J76&gt;0),J77-J76,"")</f>
        <v/>
      </c>
      <c r="L77" s="1">
        <f>IF(Table156[[#This Row],[Voltage]]&gt;Threshold,1,0)</f>
        <v>1</v>
      </c>
      <c r="M77" s="1" t="b">
        <f>AND(Table156[[#This Row],[Last]]&gt;0,Table156[[#This Row],[Last]]&lt;MAX(Table156[Last]))</f>
        <v>1</v>
      </c>
      <c r="N77" s="41" t="str">
        <f>'Data In'!D83</f>
        <v>a</v>
      </c>
      <c r="O77" s="41" t="str">
        <f>'Data In'!E83</f>
        <v>a</v>
      </c>
      <c r="P77" s="41" t="e">
        <f t="shared" si="15"/>
        <v>#VALUE!</v>
      </c>
      <c r="Q77" s="41" t="e">
        <f t="shared" si="12"/>
        <v>#DIV/0!</v>
      </c>
      <c r="R77" s="41" t="e">
        <f>IF(Table156[[#This Row],[Rising Through Threshold2]],Table156[[#This Row],[Start time2]],R76)</f>
        <v>#DIV/0!</v>
      </c>
      <c r="S77" s="41" t="e">
        <f>IF(AND(Table156[[#This Row],[Rising Through Threshold2]],R76&gt;0),R77-R76,"")</f>
        <v>#DIV/0!</v>
      </c>
      <c r="T77" s="41" t="e">
        <f>IF(Table156[[#This Row],[Voltage2]]&gt;Threshold2,1,0)</f>
        <v>#DIV/0!</v>
      </c>
      <c r="U77" s="41" t="e">
        <f>AND(Table156[[#This Row],[Last2]]&gt;0,Table156[[#This Row],[Last2]]&lt;MAX(Table156[Last2]))</f>
        <v>#DIV/0!</v>
      </c>
      <c r="V77" s="41" t="b">
        <f>OR('Data In'!B83&gt;'Data In'!B82)</f>
        <v>1</v>
      </c>
      <c r="W77" s="41">
        <f>COUNTIF($V$2:V77,"false")</f>
        <v>1</v>
      </c>
      <c r="X77" s="57"/>
    </row>
    <row r="78" spans="1:24" x14ac:dyDescent="0.45">
      <c r="A78" s="1" t="s">
        <v>96</v>
      </c>
      <c r="B78" s="1">
        <f t="shared" si="13"/>
        <v>6</v>
      </c>
      <c r="C78" s="1">
        <f t="shared" si="11"/>
        <v>11</v>
      </c>
      <c r="D78" s="1">
        <f t="shared" si="11"/>
        <v>16</v>
      </c>
      <c r="E78" s="1" t="e">
        <f t="shared" si="11"/>
        <v>#VALUE!</v>
      </c>
      <c r="F78" s="3">
        <f>IF(Table156[[#This Row],[seq]]&gt;=Table156[[#Totals],[seq]],'Data In'!B84,"")</f>
        <v>1988.16</v>
      </c>
      <c r="G78" s="4">
        <f>'Data In'!C84</f>
        <v>3.65</v>
      </c>
      <c r="H78" s="3" t="e">
        <f t="shared" si="14"/>
        <v>#VALUE!</v>
      </c>
      <c r="I78" s="1" t="b">
        <f t="shared" si="9"/>
        <v>0</v>
      </c>
      <c r="J78" s="1">
        <f>IF(Table156[[#This Row],[Rising Through Threshold]],Table156[[#This Row],[Start time]],J77)</f>
        <v>1752.72</v>
      </c>
      <c r="K78" s="1" t="str">
        <f>IF(AND(Table156[[#This Row],[Rising Through Threshold]],J77&gt;0),J78-J77,"")</f>
        <v/>
      </c>
      <c r="L78" s="1">
        <f>IF(Table156[[#This Row],[Voltage]]&gt;Threshold,1,0)</f>
        <v>1</v>
      </c>
      <c r="M78" s="1" t="b">
        <f>AND(Table156[[#This Row],[Last]]&gt;0,Table156[[#This Row],[Last]]&lt;MAX(Table156[Last]))</f>
        <v>1</v>
      </c>
      <c r="N78" s="41" t="str">
        <f>'Data In'!D84</f>
        <v>a</v>
      </c>
      <c r="O78" s="41" t="str">
        <f>'Data In'!E84</f>
        <v>a</v>
      </c>
      <c r="P78" s="41" t="e">
        <f t="shared" si="15"/>
        <v>#VALUE!</v>
      </c>
      <c r="Q78" s="41" t="e">
        <f t="shared" si="12"/>
        <v>#DIV/0!</v>
      </c>
      <c r="R78" s="41" t="e">
        <f>IF(Table156[[#This Row],[Rising Through Threshold2]],Table156[[#This Row],[Start time2]],R77)</f>
        <v>#DIV/0!</v>
      </c>
      <c r="S78" s="41" t="e">
        <f>IF(AND(Table156[[#This Row],[Rising Through Threshold2]],R77&gt;0),R78-R77,"")</f>
        <v>#DIV/0!</v>
      </c>
      <c r="T78" s="41" t="e">
        <f>IF(Table156[[#This Row],[Voltage2]]&gt;Threshold2,1,0)</f>
        <v>#DIV/0!</v>
      </c>
      <c r="U78" s="41" t="e">
        <f>AND(Table156[[#This Row],[Last2]]&gt;0,Table156[[#This Row],[Last2]]&lt;MAX(Table156[Last2]))</f>
        <v>#DIV/0!</v>
      </c>
      <c r="V78" s="41" t="b">
        <f>OR('Data In'!B84&gt;'Data In'!B83)</f>
        <v>1</v>
      </c>
      <c r="W78" s="41">
        <f>COUNTIF($V$2:V78,"false")</f>
        <v>1</v>
      </c>
      <c r="X78" s="57"/>
    </row>
    <row r="79" spans="1:24" x14ac:dyDescent="0.45">
      <c r="A79" s="1" t="s">
        <v>97</v>
      </c>
      <c r="B79" s="1">
        <f t="shared" si="13"/>
        <v>6</v>
      </c>
      <c r="C79" s="1">
        <f t="shared" si="11"/>
        <v>11</v>
      </c>
      <c r="D79" s="1">
        <f t="shared" si="11"/>
        <v>16</v>
      </c>
      <c r="E79" s="1" t="e">
        <f t="shared" si="11"/>
        <v>#VALUE!</v>
      </c>
      <c r="F79" s="3">
        <f>IF(Table156[[#This Row],[seq]]&gt;=Table156[[#Totals],[seq]],'Data In'!B85,"")</f>
        <v>2014.32</v>
      </c>
      <c r="G79" s="4">
        <f>'Data In'!C85</f>
        <v>3.71</v>
      </c>
      <c r="H79" s="3" t="e">
        <f t="shared" si="14"/>
        <v>#VALUE!</v>
      </c>
      <c r="I79" s="1" t="b">
        <f t="shared" si="9"/>
        <v>0</v>
      </c>
      <c r="J79" s="1">
        <f>IF(Table156[[#This Row],[Rising Through Threshold]],Table156[[#This Row],[Start time]],J78)</f>
        <v>1752.72</v>
      </c>
      <c r="K79" s="1" t="str">
        <f>IF(AND(Table156[[#This Row],[Rising Through Threshold]],J78&gt;0),J79-J78,"")</f>
        <v/>
      </c>
      <c r="L79" s="1">
        <f>IF(Table156[[#This Row],[Voltage]]&gt;Threshold,1,0)</f>
        <v>1</v>
      </c>
      <c r="M79" s="1" t="b">
        <f>AND(Table156[[#This Row],[Last]]&gt;0,Table156[[#This Row],[Last]]&lt;MAX(Table156[Last]))</f>
        <v>1</v>
      </c>
      <c r="N79" s="41" t="str">
        <f>'Data In'!D85</f>
        <v>a</v>
      </c>
      <c r="O79" s="41" t="str">
        <f>'Data In'!E85</f>
        <v>a</v>
      </c>
      <c r="P79" s="41" t="e">
        <f t="shared" si="15"/>
        <v>#VALUE!</v>
      </c>
      <c r="Q79" s="41" t="e">
        <f t="shared" si="12"/>
        <v>#DIV/0!</v>
      </c>
      <c r="R79" s="41" t="e">
        <f>IF(Table156[[#This Row],[Rising Through Threshold2]],Table156[[#This Row],[Start time2]],R78)</f>
        <v>#DIV/0!</v>
      </c>
      <c r="S79" s="41" t="e">
        <f>IF(AND(Table156[[#This Row],[Rising Through Threshold2]],R78&gt;0),R79-R78,"")</f>
        <v>#DIV/0!</v>
      </c>
      <c r="T79" s="41" t="e">
        <f>IF(Table156[[#This Row],[Voltage2]]&gt;Threshold2,1,0)</f>
        <v>#DIV/0!</v>
      </c>
      <c r="U79" s="41" t="e">
        <f>AND(Table156[[#This Row],[Last2]]&gt;0,Table156[[#This Row],[Last2]]&lt;MAX(Table156[Last2]))</f>
        <v>#DIV/0!</v>
      </c>
      <c r="V79" s="41" t="b">
        <f>OR('Data In'!B85&gt;'Data In'!B84)</f>
        <v>1</v>
      </c>
      <c r="W79" s="41">
        <f>COUNTIF($V$2:V79,"false")</f>
        <v>1</v>
      </c>
      <c r="X79" s="57"/>
    </row>
    <row r="80" spans="1:24" x14ac:dyDescent="0.45">
      <c r="A80" s="1" t="s">
        <v>98</v>
      </c>
      <c r="B80" s="1">
        <f t="shared" si="13"/>
        <v>6</v>
      </c>
      <c r="C80" s="1">
        <f t="shared" si="11"/>
        <v>11</v>
      </c>
      <c r="D80" s="1">
        <f t="shared" si="11"/>
        <v>16</v>
      </c>
      <c r="E80" s="1" t="e">
        <f t="shared" si="11"/>
        <v>#VALUE!</v>
      </c>
      <c r="F80" s="3">
        <f>IF(Table156[[#This Row],[seq]]&gt;=Table156[[#Totals],[seq]],'Data In'!B86,"")</f>
        <v>2040.48</v>
      </c>
      <c r="G80" s="4">
        <f>'Data In'!C86</f>
        <v>3.73</v>
      </c>
      <c r="H80" s="3" t="e">
        <f t="shared" si="14"/>
        <v>#VALUE!</v>
      </c>
      <c r="I80" s="1" t="b">
        <f t="shared" si="9"/>
        <v>0</v>
      </c>
      <c r="J80" s="1">
        <f>IF(Table156[[#This Row],[Rising Through Threshold]],Table156[[#This Row],[Start time]],J79)</f>
        <v>1752.72</v>
      </c>
      <c r="K80" s="1" t="str">
        <f>IF(AND(Table156[[#This Row],[Rising Through Threshold]],J79&gt;0),J80-J79,"")</f>
        <v/>
      </c>
      <c r="L80" s="1">
        <f>IF(Table156[[#This Row],[Voltage]]&gt;Threshold,1,0)</f>
        <v>1</v>
      </c>
      <c r="M80" s="1" t="b">
        <f>AND(Table156[[#This Row],[Last]]&gt;0,Table156[[#This Row],[Last]]&lt;MAX(Table156[Last]))</f>
        <v>1</v>
      </c>
      <c r="N80" s="41" t="str">
        <f>'Data In'!D86</f>
        <v>a</v>
      </c>
      <c r="O80" s="41" t="str">
        <f>'Data In'!E86</f>
        <v>a</v>
      </c>
      <c r="P80" s="41" t="e">
        <f t="shared" si="15"/>
        <v>#VALUE!</v>
      </c>
      <c r="Q80" s="41" t="e">
        <f t="shared" si="12"/>
        <v>#DIV/0!</v>
      </c>
      <c r="R80" s="41" t="e">
        <f>IF(Table156[[#This Row],[Rising Through Threshold2]],Table156[[#This Row],[Start time2]],R79)</f>
        <v>#DIV/0!</v>
      </c>
      <c r="S80" s="41" t="e">
        <f>IF(AND(Table156[[#This Row],[Rising Through Threshold2]],R79&gt;0),R80-R79,"")</f>
        <v>#DIV/0!</v>
      </c>
      <c r="T80" s="41" t="e">
        <f>IF(Table156[[#This Row],[Voltage2]]&gt;Threshold2,1,0)</f>
        <v>#DIV/0!</v>
      </c>
      <c r="U80" s="41" t="e">
        <f>AND(Table156[[#This Row],[Last2]]&gt;0,Table156[[#This Row],[Last2]]&lt;MAX(Table156[Last2]))</f>
        <v>#DIV/0!</v>
      </c>
      <c r="V80" s="41" t="b">
        <f>OR('Data In'!B86&gt;'Data In'!B85)</f>
        <v>1</v>
      </c>
      <c r="W80" s="41">
        <f>COUNTIF($V$2:V80,"false")</f>
        <v>1</v>
      </c>
      <c r="X80" s="57"/>
    </row>
    <row r="81" spans="1:24" x14ac:dyDescent="0.45">
      <c r="A81" s="1" t="s">
        <v>99</v>
      </c>
      <c r="B81" s="1">
        <f t="shared" si="13"/>
        <v>6</v>
      </c>
      <c r="C81" s="1">
        <f t="shared" si="11"/>
        <v>11</v>
      </c>
      <c r="D81" s="1">
        <f t="shared" si="11"/>
        <v>16</v>
      </c>
      <c r="E81" s="1" t="e">
        <f t="shared" si="11"/>
        <v>#VALUE!</v>
      </c>
      <c r="F81" s="3">
        <f>IF(Table156[[#This Row],[seq]]&gt;=Table156[[#Totals],[seq]],'Data In'!B87,"")</f>
        <v>2066.64</v>
      </c>
      <c r="G81" s="4">
        <f>'Data In'!C87</f>
        <v>3.69</v>
      </c>
      <c r="H81" s="3" t="e">
        <f t="shared" si="14"/>
        <v>#VALUE!</v>
      </c>
      <c r="I81" s="1" t="b">
        <f t="shared" si="9"/>
        <v>0</v>
      </c>
      <c r="J81" s="1">
        <f>IF(Table156[[#This Row],[Rising Through Threshold]],Table156[[#This Row],[Start time]],J80)</f>
        <v>1752.72</v>
      </c>
      <c r="K81" s="1" t="str">
        <f>IF(AND(Table156[[#This Row],[Rising Through Threshold]],J80&gt;0),J81-J80,"")</f>
        <v/>
      </c>
      <c r="L81" s="1">
        <f>IF(Table156[[#This Row],[Voltage]]&gt;Threshold,1,0)</f>
        <v>1</v>
      </c>
      <c r="M81" s="1" t="b">
        <f>AND(Table156[[#This Row],[Last]]&gt;0,Table156[[#This Row],[Last]]&lt;MAX(Table156[Last]))</f>
        <v>1</v>
      </c>
      <c r="N81" s="41" t="str">
        <f>'Data In'!D87</f>
        <v>a</v>
      </c>
      <c r="O81" s="41" t="str">
        <f>'Data In'!E87</f>
        <v>a</v>
      </c>
      <c r="P81" s="41" t="e">
        <f t="shared" si="15"/>
        <v>#VALUE!</v>
      </c>
      <c r="Q81" s="41" t="e">
        <f t="shared" si="12"/>
        <v>#DIV/0!</v>
      </c>
      <c r="R81" s="41" t="e">
        <f>IF(Table156[[#This Row],[Rising Through Threshold2]],Table156[[#This Row],[Start time2]],R80)</f>
        <v>#DIV/0!</v>
      </c>
      <c r="S81" s="41" t="e">
        <f>IF(AND(Table156[[#This Row],[Rising Through Threshold2]],R80&gt;0),R81-R80,"")</f>
        <v>#DIV/0!</v>
      </c>
      <c r="T81" s="41" t="e">
        <f>IF(Table156[[#This Row],[Voltage2]]&gt;Threshold2,1,0)</f>
        <v>#DIV/0!</v>
      </c>
      <c r="U81" s="41" t="e">
        <f>AND(Table156[[#This Row],[Last2]]&gt;0,Table156[[#This Row],[Last2]]&lt;MAX(Table156[Last2]))</f>
        <v>#DIV/0!</v>
      </c>
      <c r="V81" s="41" t="b">
        <f>OR('Data In'!B87&gt;'Data In'!B86)</f>
        <v>1</v>
      </c>
      <c r="W81" s="41">
        <f>COUNTIF($V$2:V81,"false")</f>
        <v>1</v>
      </c>
      <c r="X81" s="57"/>
    </row>
    <row r="82" spans="1:24" x14ac:dyDescent="0.45">
      <c r="A82" s="1" t="s">
        <v>100</v>
      </c>
      <c r="B82" s="1">
        <f t="shared" si="13"/>
        <v>6</v>
      </c>
      <c r="C82" s="1">
        <f t="shared" si="11"/>
        <v>11</v>
      </c>
      <c r="D82" s="1">
        <f t="shared" si="11"/>
        <v>16</v>
      </c>
      <c r="E82" s="1" t="e">
        <f t="shared" si="11"/>
        <v>#VALUE!</v>
      </c>
      <c r="F82" s="3">
        <f>IF(Table156[[#This Row],[seq]]&gt;=Table156[[#Totals],[seq]],'Data In'!B88,"")</f>
        <v>2092.8000000000002</v>
      </c>
      <c r="G82" s="4">
        <f>'Data In'!C88</f>
        <v>3.53</v>
      </c>
      <c r="H82" s="3" t="e">
        <f t="shared" si="14"/>
        <v>#VALUE!</v>
      </c>
      <c r="I82" s="1" t="b">
        <f t="shared" si="9"/>
        <v>0</v>
      </c>
      <c r="J82" s="1">
        <f>IF(Table156[[#This Row],[Rising Through Threshold]],Table156[[#This Row],[Start time]],J81)</f>
        <v>1752.72</v>
      </c>
      <c r="K82" s="1" t="str">
        <f>IF(AND(Table156[[#This Row],[Rising Through Threshold]],J81&gt;0),J82-J81,"")</f>
        <v/>
      </c>
      <c r="L82" s="1">
        <f>IF(Table156[[#This Row],[Voltage]]&gt;Threshold,1,0)</f>
        <v>1</v>
      </c>
      <c r="M82" s="1" t="b">
        <f>AND(Table156[[#This Row],[Last]]&gt;0,Table156[[#This Row],[Last]]&lt;MAX(Table156[Last]))</f>
        <v>1</v>
      </c>
      <c r="N82" s="41" t="str">
        <f>'Data In'!D88</f>
        <v>a</v>
      </c>
      <c r="O82" s="41" t="str">
        <f>'Data In'!E88</f>
        <v>a</v>
      </c>
      <c r="P82" s="41" t="e">
        <f t="shared" si="15"/>
        <v>#VALUE!</v>
      </c>
      <c r="Q82" s="41" t="e">
        <f t="shared" si="12"/>
        <v>#DIV/0!</v>
      </c>
      <c r="R82" s="41" t="e">
        <f>IF(Table156[[#This Row],[Rising Through Threshold2]],Table156[[#This Row],[Start time2]],R81)</f>
        <v>#DIV/0!</v>
      </c>
      <c r="S82" s="41" t="e">
        <f>IF(AND(Table156[[#This Row],[Rising Through Threshold2]],R81&gt;0),R82-R81,"")</f>
        <v>#DIV/0!</v>
      </c>
      <c r="T82" s="41" t="e">
        <f>IF(Table156[[#This Row],[Voltage2]]&gt;Threshold2,1,0)</f>
        <v>#DIV/0!</v>
      </c>
      <c r="U82" s="41" t="e">
        <f>AND(Table156[[#This Row],[Last2]]&gt;0,Table156[[#This Row],[Last2]]&lt;MAX(Table156[Last2]))</f>
        <v>#DIV/0!</v>
      </c>
      <c r="V82" s="41" t="b">
        <f>OR('Data In'!B88&gt;'Data In'!B87)</f>
        <v>1</v>
      </c>
      <c r="W82" s="41">
        <f>COUNTIF($V$2:V82,"false")</f>
        <v>1</v>
      </c>
      <c r="X82" s="57"/>
    </row>
    <row r="83" spans="1:24" x14ac:dyDescent="0.45">
      <c r="A83" s="1" t="s">
        <v>101</v>
      </c>
      <c r="B83" s="1">
        <f t="shared" si="13"/>
        <v>6</v>
      </c>
      <c r="C83" s="1">
        <f t="shared" si="11"/>
        <v>11</v>
      </c>
      <c r="D83" s="1">
        <f t="shared" si="11"/>
        <v>16</v>
      </c>
      <c r="E83" s="1" t="e">
        <f t="shared" si="11"/>
        <v>#VALUE!</v>
      </c>
      <c r="F83" s="3">
        <f>IF(Table156[[#This Row],[seq]]&gt;=Table156[[#Totals],[seq]],'Data In'!B89,"")</f>
        <v>2118.96</v>
      </c>
      <c r="G83" s="4">
        <f>'Data In'!C89</f>
        <v>3.18</v>
      </c>
      <c r="H83" s="3" t="e">
        <f t="shared" si="14"/>
        <v>#VALUE!</v>
      </c>
      <c r="I83" s="1" t="b">
        <f t="shared" si="9"/>
        <v>0</v>
      </c>
      <c r="J83" s="1">
        <f>IF(Table156[[#This Row],[Rising Through Threshold]],Table156[[#This Row],[Start time]],J82)</f>
        <v>1752.72</v>
      </c>
      <c r="K83" s="1" t="str">
        <f>IF(AND(Table156[[#This Row],[Rising Through Threshold]],J82&gt;0),J83-J82,"")</f>
        <v/>
      </c>
      <c r="L83" s="1">
        <f>IF(Table156[[#This Row],[Voltage]]&gt;Threshold,1,0)</f>
        <v>1</v>
      </c>
      <c r="M83" s="1" t="b">
        <f>AND(Table156[[#This Row],[Last]]&gt;0,Table156[[#This Row],[Last]]&lt;MAX(Table156[Last]))</f>
        <v>1</v>
      </c>
      <c r="N83" s="41" t="str">
        <f>'Data In'!D89</f>
        <v>a</v>
      </c>
      <c r="O83" s="41" t="str">
        <f>'Data In'!E89</f>
        <v>a</v>
      </c>
      <c r="P83" s="41" t="e">
        <f t="shared" si="15"/>
        <v>#VALUE!</v>
      </c>
      <c r="Q83" s="41" t="e">
        <f t="shared" si="12"/>
        <v>#DIV/0!</v>
      </c>
      <c r="R83" s="41" t="e">
        <f>IF(Table156[[#This Row],[Rising Through Threshold2]],Table156[[#This Row],[Start time2]],R82)</f>
        <v>#DIV/0!</v>
      </c>
      <c r="S83" s="41" t="e">
        <f>IF(AND(Table156[[#This Row],[Rising Through Threshold2]],R82&gt;0),R83-R82,"")</f>
        <v>#DIV/0!</v>
      </c>
      <c r="T83" s="41" t="e">
        <f>IF(Table156[[#This Row],[Voltage2]]&gt;Threshold2,1,0)</f>
        <v>#DIV/0!</v>
      </c>
      <c r="U83" s="41" t="e">
        <f>AND(Table156[[#This Row],[Last2]]&gt;0,Table156[[#This Row],[Last2]]&lt;MAX(Table156[Last2]))</f>
        <v>#DIV/0!</v>
      </c>
      <c r="V83" s="41" t="b">
        <f>OR('Data In'!B89&gt;'Data In'!B88)</f>
        <v>1</v>
      </c>
      <c r="W83" s="41">
        <f>COUNTIF($V$2:V83,"false")</f>
        <v>1</v>
      </c>
      <c r="X83" s="57"/>
    </row>
    <row r="84" spans="1:24" x14ac:dyDescent="0.45">
      <c r="A84" s="1" t="s">
        <v>102</v>
      </c>
      <c r="B84" s="1">
        <f t="shared" si="13"/>
        <v>6</v>
      </c>
      <c r="C84" s="1">
        <f t="shared" si="11"/>
        <v>11</v>
      </c>
      <c r="D84" s="1">
        <f t="shared" si="11"/>
        <v>16</v>
      </c>
      <c r="E84" s="1" t="e">
        <f t="shared" si="11"/>
        <v>#VALUE!</v>
      </c>
      <c r="F84" s="3">
        <f>IF(Table156[[#This Row],[seq]]&gt;=Table156[[#Totals],[seq]],'Data In'!B90,"")</f>
        <v>2145.12</v>
      </c>
      <c r="G84" s="4">
        <f>'Data In'!C90</f>
        <v>2.65</v>
      </c>
      <c r="H84" s="3" t="e">
        <f t="shared" si="14"/>
        <v>#VALUE!</v>
      </c>
      <c r="I84" s="1" t="b">
        <f t="shared" si="9"/>
        <v>0</v>
      </c>
      <c r="J84" s="1">
        <f>IF(Table156[[#This Row],[Rising Through Threshold]],Table156[[#This Row],[Start time]],J83)</f>
        <v>1752.72</v>
      </c>
      <c r="K84" s="1" t="str">
        <f>IF(AND(Table156[[#This Row],[Rising Through Threshold]],J83&gt;0),J84-J83,"")</f>
        <v/>
      </c>
      <c r="L84" s="1">
        <f>IF(Table156[[#This Row],[Voltage]]&gt;Threshold,1,0)</f>
        <v>1</v>
      </c>
      <c r="M84" s="1" t="b">
        <f>AND(Table156[[#This Row],[Last]]&gt;0,Table156[[#This Row],[Last]]&lt;MAX(Table156[Last]))</f>
        <v>1</v>
      </c>
      <c r="N84" s="41" t="str">
        <f>'Data In'!D90</f>
        <v>a</v>
      </c>
      <c r="O84" s="41" t="str">
        <f>'Data In'!E90</f>
        <v>a</v>
      </c>
      <c r="P84" s="41" t="e">
        <f t="shared" si="15"/>
        <v>#VALUE!</v>
      </c>
      <c r="Q84" s="41" t="e">
        <f t="shared" si="12"/>
        <v>#DIV/0!</v>
      </c>
      <c r="R84" s="41" t="e">
        <f>IF(Table156[[#This Row],[Rising Through Threshold2]],Table156[[#This Row],[Start time2]],R83)</f>
        <v>#DIV/0!</v>
      </c>
      <c r="S84" s="41" t="e">
        <f>IF(AND(Table156[[#This Row],[Rising Through Threshold2]],R83&gt;0),R84-R83,"")</f>
        <v>#DIV/0!</v>
      </c>
      <c r="T84" s="41" t="e">
        <f>IF(Table156[[#This Row],[Voltage2]]&gt;Threshold2,1,0)</f>
        <v>#DIV/0!</v>
      </c>
      <c r="U84" s="41" t="e">
        <f>AND(Table156[[#This Row],[Last2]]&gt;0,Table156[[#This Row],[Last2]]&lt;MAX(Table156[Last2]))</f>
        <v>#DIV/0!</v>
      </c>
      <c r="V84" s="41" t="b">
        <f>OR('Data In'!B90&gt;'Data In'!B89)</f>
        <v>1</v>
      </c>
      <c r="W84" s="41">
        <f>COUNTIF($V$2:V84,"false")</f>
        <v>1</v>
      </c>
      <c r="X84" s="57"/>
    </row>
    <row r="85" spans="1:24" x14ac:dyDescent="0.45">
      <c r="A85" s="1" t="s">
        <v>103</v>
      </c>
      <c r="B85" s="1">
        <f t="shared" si="13"/>
        <v>6</v>
      </c>
      <c r="C85" s="1">
        <f t="shared" si="11"/>
        <v>11</v>
      </c>
      <c r="D85" s="1">
        <f t="shared" si="11"/>
        <v>16</v>
      </c>
      <c r="E85" s="1" t="e">
        <f t="shared" si="11"/>
        <v>#VALUE!</v>
      </c>
      <c r="F85" s="3">
        <f>IF(Table156[[#This Row],[seq]]&gt;=Table156[[#Totals],[seq]],'Data In'!B91,"")</f>
        <v>2171.2800000000002</v>
      </c>
      <c r="G85" s="4">
        <f>'Data In'!C91</f>
        <v>1.96</v>
      </c>
      <c r="H85" s="3" t="e">
        <f t="shared" si="14"/>
        <v>#VALUE!</v>
      </c>
      <c r="I85" s="1" t="b">
        <f t="shared" si="9"/>
        <v>0</v>
      </c>
      <c r="J85" s="1">
        <f>IF(Table156[[#This Row],[Rising Through Threshold]],Table156[[#This Row],[Start time]],J84)</f>
        <v>1752.72</v>
      </c>
      <c r="K85" s="1" t="str">
        <f>IF(AND(Table156[[#This Row],[Rising Through Threshold]],J84&gt;0),J85-J84,"")</f>
        <v/>
      </c>
      <c r="L85" s="1">
        <f>IF(Table156[[#This Row],[Voltage]]&gt;Threshold,1,0)</f>
        <v>0</v>
      </c>
      <c r="M85" s="1" t="b">
        <f>AND(Table156[[#This Row],[Last]]&gt;0,Table156[[#This Row],[Last]]&lt;MAX(Table156[Last]))</f>
        <v>1</v>
      </c>
      <c r="N85" s="41" t="str">
        <f>'Data In'!D91</f>
        <v>a</v>
      </c>
      <c r="O85" s="41" t="str">
        <f>'Data In'!E91</f>
        <v>a</v>
      </c>
      <c r="P85" s="41" t="e">
        <f t="shared" si="15"/>
        <v>#VALUE!</v>
      </c>
      <c r="Q85" s="41" t="e">
        <f t="shared" si="12"/>
        <v>#DIV/0!</v>
      </c>
      <c r="R85" s="41" t="e">
        <f>IF(Table156[[#This Row],[Rising Through Threshold2]],Table156[[#This Row],[Start time2]],R84)</f>
        <v>#DIV/0!</v>
      </c>
      <c r="S85" s="41" t="e">
        <f>IF(AND(Table156[[#This Row],[Rising Through Threshold2]],R84&gt;0),R85-R84,"")</f>
        <v>#DIV/0!</v>
      </c>
      <c r="T85" s="41" t="e">
        <f>IF(Table156[[#This Row],[Voltage2]]&gt;Threshold2,1,0)</f>
        <v>#DIV/0!</v>
      </c>
      <c r="U85" s="41" t="e">
        <f>AND(Table156[[#This Row],[Last2]]&gt;0,Table156[[#This Row],[Last2]]&lt;MAX(Table156[Last2]))</f>
        <v>#DIV/0!</v>
      </c>
      <c r="V85" s="41" t="b">
        <f>OR('Data In'!B91&gt;'Data In'!B90)</f>
        <v>1</v>
      </c>
      <c r="W85" s="41">
        <f>COUNTIF($V$2:V85,"false")</f>
        <v>1</v>
      </c>
      <c r="X85" s="57"/>
    </row>
    <row r="86" spans="1:24" x14ac:dyDescent="0.45">
      <c r="A86" s="1" t="s">
        <v>104</v>
      </c>
      <c r="B86" s="1">
        <f t="shared" si="13"/>
        <v>6</v>
      </c>
      <c r="C86" s="1">
        <f t="shared" si="11"/>
        <v>11</v>
      </c>
      <c r="D86" s="1">
        <f t="shared" si="11"/>
        <v>16</v>
      </c>
      <c r="E86" s="1" t="e">
        <f t="shared" si="11"/>
        <v>#VALUE!</v>
      </c>
      <c r="F86" s="3">
        <f>IF(Table156[[#This Row],[seq]]&gt;=Table156[[#Totals],[seq]],'Data In'!B92,"")</f>
        <v>2197.44</v>
      </c>
      <c r="G86" s="4">
        <f>'Data In'!C92</f>
        <v>1.24</v>
      </c>
      <c r="H86" s="3" t="e">
        <f t="shared" si="14"/>
        <v>#VALUE!</v>
      </c>
      <c r="I86" s="1" t="b">
        <f t="shared" si="9"/>
        <v>0</v>
      </c>
      <c r="J86" s="1">
        <f>IF(Table156[[#This Row],[Rising Through Threshold]],Table156[[#This Row],[Start time]],J85)</f>
        <v>1752.72</v>
      </c>
      <c r="K86" s="1" t="str">
        <f>IF(AND(Table156[[#This Row],[Rising Through Threshold]],J85&gt;0),J86-J85,"")</f>
        <v/>
      </c>
      <c r="L86" s="1">
        <f>IF(Table156[[#This Row],[Voltage]]&gt;Threshold,1,0)</f>
        <v>0</v>
      </c>
      <c r="M86" s="1" t="b">
        <f>AND(Table156[[#This Row],[Last]]&gt;0,Table156[[#This Row],[Last]]&lt;MAX(Table156[Last]))</f>
        <v>1</v>
      </c>
      <c r="N86" s="41" t="str">
        <f>'Data In'!D92</f>
        <v>a</v>
      </c>
      <c r="O86" s="41" t="str">
        <f>'Data In'!E92</f>
        <v>a</v>
      </c>
      <c r="P86" s="41" t="e">
        <f t="shared" si="15"/>
        <v>#VALUE!</v>
      </c>
      <c r="Q86" s="41" t="e">
        <f t="shared" si="12"/>
        <v>#DIV/0!</v>
      </c>
      <c r="R86" s="41" t="e">
        <f>IF(Table156[[#This Row],[Rising Through Threshold2]],Table156[[#This Row],[Start time2]],R85)</f>
        <v>#DIV/0!</v>
      </c>
      <c r="S86" s="41" t="e">
        <f>IF(AND(Table156[[#This Row],[Rising Through Threshold2]],R85&gt;0),R86-R85,"")</f>
        <v>#DIV/0!</v>
      </c>
      <c r="T86" s="41" t="e">
        <f>IF(Table156[[#This Row],[Voltage2]]&gt;Threshold2,1,0)</f>
        <v>#DIV/0!</v>
      </c>
      <c r="U86" s="41" t="e">
        <f>AND(Table156[[#This Row],[Last2]]&gt;0,Table156[[#This Row],[Last2]]&lt;MAX(Table156[Last2]))</f>
        <v>#DIV/0!</v>
      </c>
      <c r="V86" s="41" t="b">
        <f>OR('Data In'!B92&gt;'Data In'!B91)</f>
        <v>1</v>
      </c>
      <c r="W86" s="41">
        <f>COUNTIF($V$2:V86,"false")</f>
        <v>1</v>
      </c>
      <c r="X86" s="57"/>
    </row>
    <row r="87" spans="1:24" x14ac:dyDescent="0.45">
      <c r="A87" s="1" t="s">
        <v>105</v>
      </c>
      <c r="B87" s="1">
        <f t="shared" si="13"/>
        <v>6</v>
      </c>
      <c r="C87" s="1">
        <f t="shared" si="11"/>
        <v>11</v>
      </c>
      <c r="D87" s="1">
        <f t="shared" si="11"/>
        <v>16</v>
      </c>
      <c r="E87" s="1" t="e">
        <f t="shared" si="11"/>
        <v>#VALUE!</v>
      </c>
      <c r="F87" s="3">
        <f>IF(Table156[[#This Row],[seq]]&gt;=Table156[[#Totals],[seq]],'Data In'!B93,"")</f>
        <v>2223.6</v>
      </c>
      <c r="G87" s="4">
        <f>'Data In'!C93</f>
        <v>0.56999999999999995</v>
      </c>
      <c r="H87" s="3" t="e">
        <f t="shared" si="14"/>
        <v>#VALUE!</v>
      </c>
      <c r="I87" s="1" t="b">
        <f t="shared" si="9"/>
        <v>0</v>
      </c>
      <c r="J87" s="1">
        <f>IF(Table156[[#This Row],[Rising Through Threshold]],Table156[[#This Row],[Start time]],J86)</f>
        <v>1752.72</v>
      </c>
      <c r="K87" s="1" t="str">
        <f>IF(AND(Table156[[#This Row],[Rising Through Threshold]],J86&gt;0),J87-J86,"")</f>
        <v/>
      </c>
      <c r="L87" s="1">
        <f>IF(Table156[[#This Row],[Voltage]]&gt;Threshold,1,0)</f>
        <v>0</v>
      </c>
      <c r="M87" s="1" t="b">
        <f>AND(Table156[[#This Row],[Last]]&gt;0,Table156[[#This Row],[Last]]&lt;MAX(Table156[Last]))</f>
        <v>1</v>
      </c>
      <c r="N87" s="41" t="str">
        <f>'Data In'!D93</f>
        <v>a</v>
      </c>
      <c r="O87" s="41" t="str">
        <f>'Data In'!E93</f>
        <v>a</v>
      </c>
      <c r="P87" s="41" t="e">
        <f t="shared" si="15"/>
        <v>#VALUE!</v>
      </c>
      <c r="Q87" s="41" t="e">
        <f t="shared" si="12"/>
        <v>#DIV/0!</v>
      </c>
      <c r="R87" s="41" t="e">
        <f>IF(Table156[[#This Row],[Rising Through Threshold2]],Table156[[#This Row],[Start time2]],R86)</f>
        <v>#DIV/0!</v>
      </c>
      <c r="S87" s="41" t="e">
        <f>IF(AND(Table156[[#This Row],[Rising Through Threshold2]],R86&gt;0),R87-R86,"")</f>
        <v>#DIV/0!</v>
      </c>
      <c r="T87" s="41" t="e">
        <f>IF(Table156[[#This Row],[Voltage2]]&gt;Threshold2,1,0)</f>
        <v>#DIV/0!</v>
      </c>
      <c r="U87" s="41" t="e">
        <f>AND(Table156[[#This Row],[Last2]]&gt;0,Table156[[#This Row],[Last2]]&lt;MAX(Table156[Last2]))</f>
        <v>#DIV/0!</v>
      </c>
      <c r="V87" s="41" t="b">
        <f>OR('Data In'!B93&gt;'Data In'!B92)</f>
        <v>1</v>
      </c>
      <c r="W87" s="41">
        <f>COUNTIF($V$2:V87,"false")</f>
        <v>1</v>
      </c>
      <c r="X87" s="57"/>
    </row>
    <row r="88" spans="1:24" x14ac:dyDescent="0.45">
      <c r="A88" s="1" t="s">
        <v>106</v>
      </c>
      <c r="B88" s="1">
        <f t="shared" si="13"/>
        <v>6</v>
      </c>
      <c r="C88" s="1">
        <f t="shared" si="11"/>
        <v>11</v>
      </c>
      <c r="D88" s="1">
        <f t="shared" si="11"/>
        <v>16</v>
      </c>
      <c r="E88" s="1" t="e">
        <f t="shared" si="11"/>
        <v>#VALUE!</v>
      </c>
      <c r="F88" s="3">
        <f>IF(Table156[[#This Row],[seq]]&gt;=Table156[[#Totals],[seq]],'Data In'!B94,"")</f>
        <v>2249.7600000000002</v>
      </c>
      <c r="G88" s="4">
        <f>'Data In'!C94</f>
        <v>0.43</v>
      </c>
      <c r="H88" s="3" t="e">
        <f t="shared" si="14"/>
        <v>#VALUE!</v>
      </c>
      <c r="I88" s="1" t="b">
        <f t="shared" si="9"/>
        <v>0</v>
      </c>
      <c r="J88" s="1">
        <f>IF(Table156[[#This Row],[Rising Through Threshold]],Table156[[#This Row],[Start time]],J87)</f>
        <v>1752.72</v>
      </c>
      <c r="K88" s="1" t="str">
        <f>IF(AND(Table156[[#This Row],[Rising Through Threshold]],J87&gt;0),J88-J87,"")</f>
        <v/>
      </c>
      <c r="L88" s="1">
        <f>IF(Table156[[#This Row],[Voltage]]&gt;Threshold,1,0)</f>
        <v>0</v>
      </c>
      <c r="M88" s="1" t="b">
        <f>AND(Table156[[#This Row],[Last]]&gt;0,Table156[[#This Row],[Last]]&lt;MAX(Table156[Last]))</f>
        <v>1</v>
      </c>
      <c r="N88" s="41" t="str">
        <f>'Data In'!D94</f>
        <v>a</v>
      </c>
      <c r="O88" s="41" t="str">
        <f>'Data In'!E94</f>
        <v>a</v>
      </c>
      <c r="P88" s="41" t="e">
        <f t="shared" si="15"/>
        <v>#VALUE!</v>
      </c>
      <c r="Q88" s="41" t="e">
        <f t="shared" si="12"/>
        <v>#DIV/0!</v>
      </c>
      <c r="R88" s="41" t="e">
        <f>IF(Table156[[#This Row],[Rising Through Threshold2]],Table156[[#This Row],[Start time2]],R87)</f>
        <v>#DIV/0!</v>
      </c>
      <c r="S88" s="41" t="e">
        <f>IF(AND(Table156[[#This Row],[Rising Through Threshold2]],R87&gt;0),R88-R87,"")</f>
        <v>#DIV/0!</v>
      </c>
      <c r="T88" s="41" t="e">
        <f>IF(Table156[[#This Row],[Voltage2]]&gt;Threshold2,1,0)</f>
        <v>#DIV/0!</v>
      </c>
      <c r="U88" s="41" t="e">
        <f>AND(Table156[[#This Row],[Last2]]&gt;0,Table156[[#This Row],[Last2]]&lt;MAX(Table156[Last2]))</f>
        <v>#DIV/0!</v>
      </c>
      <c r="V88" s="41" t="b">
        <f>OR('Data In'!B94&gt;'Data In'!B93)</f>
        <v>1</v>
      </c>
      <c r="W88" s="41">
        <f>COUNTIF($V$2:V88,"false")</f>
        <v>1</v>
      </c>
      <c r="X88" s="57"/>
    </row>
    <row r="89" spans="1:24" x14ac:dyDescent="0.45">
      <c r="A89" s="1" t="s">
        <v>107</v>
      </c>
      <c r="B89" s="1">
        <f t="shared" si="13"/>
        <v>6</v>
      </c>
      <c r="C89" s="1">
        <f t="shared" si="11"/>
        <v>11</v>
      </c>
      <c r="D89" s="1">
        <f t="shared" si="11"/>
        <v>16</v>
      </c>
      <c r="E89" s="1" t="e">
        <f t="shared" si="11"/>
        <v>#VALUE!</v>
      </c>
      <c r="F89" s="3">
        <f>IF(Table156[[#This Row],[seq]]&gt;=Table156[[#Totals],[seq]],'Data In'!B95,"")</f>
        <v>2275.92</v>
      </c>
      <c r="G89" s="4">
        <f>'Data In'!C95</f>
        <v>0.45</v>
      </c>
      <c r="H89" s="3" t="e">
        <f t="shared" si="14"/>
        <v>#VALUE!</v>
      </c>
      <c r="I89" s="1" t="b">
        <f t="shared" si="9"/>
        <v>0</v>
      </c>
      <c r="J89" s="1">
        <f>IF(Table156[[#This Row],[Rising Through Threshold]],Table156[[#This Row],[Start time]],J88)</f>
        <v>1752.72</v>
      </c>
      <c r="K89" s="1" t="str">
        <f>IF(AND(Table156[[#This Row],[Rising Through Threshold]],J88&gt;0),J89-J88,"")</f>
        <v/>
      </c>
      <c r="L89" s="1">
        <f>IF(Table156[[#This Row],[Voltage]]&gt;Threshold,1,0)</f>
        <v>0</v>
      </c>
      <c r="M89" s="1" t="b">
        <f>AND(Table156[[#This Row],[Last]]&gt;0,Table156[[#This Row],[Last]]&lt;MAX(Table156[Last]))</f>
        <v>1</v>
      </c>
      <c r="N89" s="41" t="str">
        <f>'Data In'!D95</f>
        <v>a</v>
      </c>
      <c r="O89" s="41" t="str">
        <f>'Data In'!E95</f>
        <v>a</v>
      </c>
      <c r="P89" s="41" t="e">
        <f t="shared" si="15"/>
        <v>#VALUE!</v>
      </c>
      <c r="Q89" s="41" t="e">
        <f t="shared" si="12"/>
        <v>#DIV/0!</v>
      </c>
      <c r="R89" s="41" t="e">
        <f>IF(Table156[[#This Row],[Rising Through Threshold2]],Table156[[#This Row],[Start time2]],R88)</f>
        <v>#DIV/0!</v>
      </c>
      <c r="S89" s="41" t="e">
        <f>IF(AND(Table156[[#This Row],[Rising Through Threshold2]],R88&gt;0),R89-R88,"")</f>
        <v>#DIV/0!</v>
      </c>
      <c r="T89" s="41" t="e">
        <f>IF(Table156[[#This Row],[Voltage2]]&gt;Threshold2,1,0)</f>
        <v>#DIV/0!</v>
      </c>
      <c r="U89" s="41" t="e">
        <f>AND(Table156[[#This Row],[Last2]]&gt;0,Table156[[#This Row],[Last2]]&lt;MAX(Table156[Last2]))</f>
        <v>#DIV/0!</v>
      </c>
      <c r="V89" s="41" t="b">
        <f>OR('Data In'!B95&gt;'Data In'!B94)</f>
        <v>1</v>
      </c>
      <c r="W89" s="41">
        <f>COUNTIF($V$2:V89,"false")</f>
        <v>1</v>
      </c>
      <c r="X89" s="57"/>
    </row>
    <row r="90" spans="1:24" x14ac:dyDescent="0.45">
      <c r="A90" s="1" t="s">
        <v>108</v>
      </c>
      <c r="B90" s="1">
        <f t="shared" si="13"/>
        <v>6</v>
      </c>
      <c r="C90" s="1">
        <f t="shared" si="11"/>
        <v>11</v>
      </c>
      <c r="D90" s="1">
        <f t="shared" si="11"/>
        <v>16</v>
      </c>
      <c r="E90" s="1" t="e">
        <f t="shared" si="11"/>
        <v>#VALUE!</v>
      </c>
      <c r="F90" s="3">
        <f>IF(Table156[[#This Row],[seq]]&gt;=Table156[[#Totals],[seq]],'Data In'!B96,"")</f>
        <v>2302.8000000000002</v>
      </c>
      <c r="G90" s="4">
        <f>'Data In'!C96</f>
        <v>0.51</v>
      </c>
      <c r="H90" s="3" t="e">
        <f t="shared" si="14"/>
        <v>#VALUE!</v>
      </c>
      <c r="I90" s="1" t="b">
        <f t="shared" si="9"/>
        <v>0</v>
      </c>
      <c r="J90" s="1">
        <f>IF(Table156[[#This Row],[Rising Through Threshold]],Table156[[#This Row],[Start time]],J89)</f>
        <v>1752.72</v>
      </c>
      <c r="K90" s="1" t="str">
        <f>IF(AND(Table156[[#This Row],[Rising Through Threshold]],J89&gt;0),J90-J89,"")</f>
        <v/>
      </c>
      <c r="L90" s="1">
        <f>IF(Table156[[#This Row],[Voltage]]&gt;Threshold,1,0)</f>
        <v>0</v>
      </c>
      <c r="M90" s="1" t="b">
        <f>AND(Table156[[#This Row],[Last]]&gt;0,Table156[[#This Row],[Last]]&lt;MAX(Table156[Last]))</f>
        <v>1</v>
      </c>
      <c r="N90" s="41" t="str">
        <f>'Data In'!D96</f>
        <v>a</v>
      </c>
      <c r="O90" s="41" t="str">
        <f>'Data In'!E96</f>
        <v>a</v>
      </c>
      <c r="P90" s="41" t="e">
        <f t="shared" si="15"/>
        <v>#VALUE!</v>
      </c>
      <c r="Q90" s="41" t="e">
        <f t="shared" si="12"/>
        <v>#DIV/0!</v>
      </c>
      <c r="R90" s="41" t="e">
        <f>IF(Table156[[#This Row],[Rising Through Threshold2]],Table156[[#This Row],[Start time2]],R89)</f>
        <v>#DIV/0!</v>
      </c>
      <c r="S90" s="41" t="e">
        <f>IF(AND(Table156[[#This Row],[Rising Through Threshold2]],R89&gt;0),R90-R89,"")</f>
        <v>#DIV/0!</v>
      </c>
      <c r="T90" s="41" t="e">
        <f>IF(Table156[[#This Row],[Voltage2]]&gt;Threshold2,1,0)</f>
        <v>#DIV/0!</v>
      </c>
      <c r="U90" s="41" t="e">
        <f>AND(Table156[[#This Row],[Last2]]&gt;0,Table156[[#This Row],[Last2]]&lt;MAX(Table156[Last2]))</f>
        <v>#DIV/0!</v>
      </c>
      <c r="V90" s="41" t="b">
        <f>OR('Data In'!B96&gt;'Data In'!B95)</f>
        <v>1</v>
      </c>
      <c r="W90" s="41">
        <f>COUNTIF($V$2:V90,"false")</f>
        <v>1</v>
      </c>
      <c r="X90" s="57"/>
    </row>
    <row r="91" spans="1:24" x14ac:dyDescent="0.45">
      <c r="A91" s="1" t="s">
        <v>109</v>
      </c>
      <c r="B91" s="1">
        <f t="shared" si="13"/>
        <v>6</v>
      </c>
      <c r="C91" s="1">
        <f t="shared" si="11"/>
        <v>12</v>
      </c>
      <c r="D91" s="1">
        <f t="shared" si="11"/>
        <v>17</v>
      </c>
      <c r="E91" s="1" t="e">
        <f t="shared" si="11"/>
        <v>#VALUE!</v>
      </c>
      <c r="F91" s="3">
        <f>IF(Table156[[#This Row],[seq]]&gt;=Table156[[#Totals],[seq]],'Data In'!B97,"")</f>
        <v>2328.2399999999998</v>
      </c>
      <c r="G91" s="4">
        <f>'Data In'!C97</f>
        <v>0.63</v>
      </c>
      <c r="H91" s="3" t="e">
        <f t="shared" si="14"/>
        <v>#VALUE!</v>
      </c>
      <c r="I91" s="1" t="b">
        <f t="shared" si="9"/>
        <v>0</v>
      </c>
      <c r="J91" s="1">
        <f>IF(Table156[[#This Row],[Rising Through Threshold]],Table156[[#This Row],[Start time]],J90)</f>
        <v>1752.72</v>
      </c>
      <c r="K91" s="1" t="str">
        <f>IF(AND(Table156[[#This Row],[Rising Through Threshold]],J90&gt;0),J91-J90,"")</f>
        <v/>
      </c>
      <c r="L91" s="1">
        <f>IF(Table156[[#This Row],[Voltage]]&gt;Threshold,1,0)</f>
        <v>0</v>
      </c>
      <c r="M91" s="1" t="b">
        <f>AND(Table156[[#This Row],[Last]]&gt;0,Table156[[#This Row],[Last]]&lt;MAX(Table156[Last]))</f>
        <v>1</v>
      </c>
      <c r="N91" s="41" t="str">
        <f>'Data In'!D97</f>
        <v>a</v>
      </c>
      <c r="O91" s="41" t="str">
        <f>'Data In'!E97</f>
        <v>a</v>
      </c>
      <c r="P91" s="41" t="e">
        <f t="shared" si="15"/>
        <v>#VALUE!</v>
      </c>
      <c r="Q91" s="41" t="e">
        <f t="shared" si="12"/>
        <v>#DIV/0!</v>
      </c>
      <c r="R91" s="41" t="e">
        <f>IF(Table156[[#This Row],[Rising Through Threshold2]],Table156[[#This Row],[Start time2]],R90)</f>
        <v>#DIV/0!</v>
      </c>
      <c r="S91" s="41" t="e">
        <f>IF(AND(Table156[[#This Row],[Rising Through Threshold2]],R90&gt;0),R91-R90,"")</f>
        <v>#DIV/0!</v>
      </c>
      <c r="T91" s="41" t="e">
        <f>IF(Table156[[#This Row],[Voltage2]]&gt;Threshold2,1,0)</f>
        <v>#DIV/0!</v>
      </c>
      <c r="U91" s="41" t="e">
        <f>AND(Table156[[#This Row],[Last2]]&gt;0,Table156[[#This Row],[Last2]]&lt;MAX(Table156[Last2]))</f>
        <v>#DIV/0!</v>
      </c>
      <c r="V91" s="41" t="b">
        <f>OR('Data In'!B97&gt;'Data In'!B96)</f>
        <v>1</v>
      </c>
      <c r="W91" s="41">
        <f>COUNTIF($V$2:V91,"false")</f>
        <v>1</v>
      </c>
      <c r="X91" s="57"/>
    </row>
    <row r="92" spans="1:24" x14ac:dyDescent="0.45">
      <c r="A92" s="1" t="s">
        <v>110</v>
      </c>
      <c r="B92" s="1">
        <f t="shared" si="13"/>
        <v>6</v>
      </c>
      <c r="C92" s="1">
        <f t="shared" si="11"/>
        <v>12</v>
      </c>
      <c r="D92" s="1">
        <f t="shared" si="11"/>
        <v>17</v>
      </c>
      <c r="E92" s="1" t="e">
        <f t="shared" si="11"/>
        <v>#VALUE!</v>
      </c>
      <c r="F92" s="3">
        <f>IF(Table156[[#This Row],[seq]]&gt;=Table156[[#Totals],[seq]],'Data In'!B98,"")</f>
        <v>2354.4</v>
      </c>
      <c r="G92" s="4">
        <f>'Data In'!C98</f>
        <v>0.82</v>
      </c>
      <c r="H92" s="3" t="e">
        <f t="shared" si="14"/>
        <v>#VALUE!</v>
      </c>
      <c r="I92" s="1" t="b">
        <f t="shared" si="9"/>
        <v>0</v>
      </c>
      <c r="J92" s="1">
        <f>IF(Table156[[#This Row],[Rising Through Threshold]],Table156[[#This Row],[Start time]],J91)</f>
        <v>1752.72</v>
      </c>
      <c r="K92" s="1" t="str">
        <f>IF(AND(Table156[[#This Row],[Rising Through Threshold]],J91&gt;0),J92-J91,"")</f>
        <v/>
      </c>
      <c r="L92" s="1">
        <f>IF(Table156[[#This Row],[Voltage]]&gt;Threshold,1,0)</f>
        <v>0</v>
      </c>
      <c r="M92" s="1" t="b">
        <f>AND(Table156[[#This Row],[Last]]&gt;0,Table156[[#This Row],[Last]]&lt;MAX(Table156[Last]))</f>
        <v>1</v>
      </c>
      <c r="N92" s="41" t="str">
        <f>'Data In'!D98</f>
        <v>a</v>
      </c>
      <c r="O92" s="41" t="str">
        <f>'Data In'!E98</f>
        <v>a</v>
      </c>
      <c r="P92" s="41" t="e">
        <f t="shared" si="15"/>
        <v>#VALUE!</v>
      </c>
      <c r="Q92" s="41" t="e">
        <f t="shared" si="12"/>
        <v>#DIV/0!</v>
      </c>
      <c r="R92" s="41" t="e">
        <f>IF(Table156[[#This Row],[Rising Through Threshold2]],Table156[[#This Row],[Start time2]],R91)</f>
        <v>#DIV/0!</v>
      </c>
      <c r="S92" s="41" t="e">
        <f>IF(AND(Table156[[#This Row],[Rising Through Threshold2]],R91&gt;0),R92-R91,"")</f>
        <v>#DIV/0!</v>
      </c>
      <c r="T92" s="41" t="e">
        <f>IF(Table156[[#This Row],[Voltage2]]&gt;Threshold2,1,0)</f>
        <v>#DIV/0!</v>
      </c>
      <c r="U92" s="41" t="e">
        <f>AND(Table156[[#This Row],[Last2]]&gt;0,Table156[[#This Row],[Last2]]&lt;MAX(Table156[Last2]))</f>
        <v>#DIV/0!</v>
      </c>
      <c r="V92" s="41" t="b">
        <f>OR('Data In'!B98&gt;'Data In'!B97)</f>
        <v>1</v>
      </c>
      <c r="W92" s="41">
        <f>COUNTIF($V$2:V92,"false")</f>
        <v>1</v>
      </c>
      <c r="X92" s="57"/>
    </row>
    <row r="93" spans="1:24" x14ac:dyDescent="0.45">
      <c r="A93" s="1" t="s">
        <v>111</v>
      </c>
      <c r="B93" s="1">
        <f t="shared" si="13"/>
        <v>6</v>
      </c>
      <c r="C93" s="1">
        <f t="shared" si="11"/>
        <v>12</v>
      </c>
      <c r="D93" s="1">
        <f t="shared" si="11"/>
        <v>17</v>
      </c>
      <c r="E93" s="1" t="e">
        <f t="shared" si="11"/>
        <v>#VALUE!</v>
      </c>
      <c r="F93" s="3">
        <f>IF(Table156[[#This Row],[seq]]&gt;=Table156[[#Totals],[seq]],'Data In'!B99,"")</f>
        <v>2380.56</v>
      </c>
      <c r="G93" s="4">
        <f>'Data In'!C99</f>
        <v>1.06</v>
      </c>
      <c r="H93" s="3" t="e">
        <f t="shared" si="14"/>
        <v>#VALUE!</v>
      </c>
      <c r="I93" s="1" t="b">
        <f t="shared" si="9"/>
        <v>0</v>
      </c>
      <c r="J93" s="1">
        <f>IF(Table156[[#This Row],[Rising Through Threshold]],Table156[[#This Row],[Start time]],J92)</f>
        <v>1752.72</v>
      </c>
      <c r="K93" s="1" t="str">
        <f>IF(AND(Table156[[#This Row],[Rising Through Threshold]],J92&gt;0),J93-J92,"")</f>
        <v/>
      </c>
      <c r="L93" s="1">
        <f>IF(Table156[[#This Row],[Voltage]]&gt;Threshold,1,0)</f>
        <v>0</v>
      </c>
      <c r="M93" s="1" t="b">
        <f>AND(Table156[[#This Row],[Last]]&gt;0,Table156[[#This Row],[Last]]&lt;MAX(Table156[Last]))</f>
        <v>1</v>
      </c>
      <c r="N93" s="41" t="str">
        <f>'Data In'!D99</f>
        <v>a</v>
      </c>
      <c r="O93" s="41" t="str">
        <f>'Data In'!E99</f>
        <v>a</v>
      </c>
      <c r="P93" s="41" t="e">
        <f t="shared" si="15"/>
        <v>#VALUE!</v>
      </c>
      <c r="Q93" s="41" t="e">
        <f t="shared" si="12"/>
        <v>#DIV/0!</v>
      </c>
      <c r="R93" s="41" t="e">
        <f>IF(Table156[[#This Row],[Rising Through Threshold2]],Table156[[#This Row],[Start time2]],R92)</f>
        <v>#DIV/0!</v>
      </c>
      <c r="S93" s="41" t="e">
        <f>IF(AND(Table156[[#This Row],[Rising Through Threshold2]],R92&gt;0),R93-R92,"")</f>
        <v>#DIV/0!</v>
      </c>
      <c r="T93" s="41" t="e">
        <f>IF(Table156[[#This Row],[Voltage2]]&gt;Threshold2,1,0)</f>
        <v>#DIV/0!</v>
      </c>
      <c r="U93" s="41" t="e">
        <f>AND(Table156[[#This Row],[Last2]]&gt;0,Table156[[#This Row],[Last2]]&lt;MAX(Table156[Last2]))</f>
        <v>#DIV/0!</v>
      </c>
      <c r="V93" s="41" t="b">
        <f>OR('Data In'!B99&gt;'Data In'!B98)</f>
        <v>1</v>
      </c>
      <c r="W93" s="41">
        <f>COUNTIF($V$2:V93,"false")</f>
        <v>1</v>
      </c>
      <c r="X93" s="57"/>
    </row>
    <row r="94" spans="1:24" x14ac:dyDescent="0.45">
      <c r="A94" s="1" t="s">
        <v>112</v>
      </c>
      <c r="B94" s="1">
        <f t="shared" si="13"/>
        <v>6</v>
      </c>
      <c r="C94" s="1">
        <f t="shared" si="11"/>
        <v>12</v>
      </c>
      <c r="D94" s="1">
        <f t="shared" si="11"/>
        <v>17</v>
      </c>
      <c r="E94" s="1" t="e">
        <f t="shared" si="11"/>
        <v>#VALUE!</v>
      </c>
      <c r="F94" s="3">
        <f>IF(Table156[[#This Row],[seq]]&gt;=Table156[[#Totals],[seq]],'Data In'!B100,"")</f>
        <v>2406.7199999999998</v>
      </c>
      <c r="G94" s="4">
        <f>'Data In'!C100</f>
        <v>1.31</v>
      </c>
      <c r="H94" s="3" t="e">
        <f t="shared" si="14"/>
        <v>#VALUE!</v>
      </c>
      <c r="I94" s="1" t="b">
        <f t="shared" si="9"/>
        <v>0</v>
      </c>
      <c r="J94" s="1">
        <f>IF(Table156[[#This Row],[Rising Through Threshold]],Table156[[#This Row],[Start time]],J93)</f>
        <v>1752.72</v>
      </c>
      <c r="K94" s="1" t="str">
        <f>IF(AND(Table156[[#This Row],[Rising Through Threshold]],J93&gt;0),J94-J93,"")</f>
        <v/>
      </c>
      <c r="L94" s="1">
        <f>IF(Table156[[#This Row],[Voltage]]&gt;Threshold,1,0)</f>
        <v>0</v>
      </c>
      <c r="M94" s="1" t="b">
        <f>AND(Table156[[#This Row],[Last]]&gt;0,Table156[[#This Row],[Last]]&lt;MAX(Table156[Last]))</f>
        <v>1</v>
      </c>
      <c r="N94" s="41" t="str">
        <f>'Data In'!D100</f>
        <v>a</v>
      </c>
      <c r="O94" s="41" t="str">
        <f>'Data In'!E100</f>
        <v>a</v>
      </c>
      <c r="P94" s="41" t="e">
        <f t="shared" si="15"/>
        <v>#VALUE!</v>
      </c>
      <c r="Q94" s="41" t="e">
        <f t="shared" si="12"/>
        <v>#DIV/0!</v>
      </c>
      <c r="R94" s="41" t="e">
        <f>IF(Table156[[#This Row],[Rising Through Threshold2]],Table156[[#This Row],[Start time2]],R93)</f>
        <v>#DIV/0!</v>
      </c>
      <c r="S94" s="41" t="e">
        <f>IF(AND(Table156[[#This Row],[Rising Through Threshold2]],R93&gt;0),R94-R93,"")</f>
        <v>#DIV/0!</v>
      </c>
      <c r="T94" s="41" t="e">
        <f>IF(Table156[[#This Row],[Voltage2]]&gt;Threshold2,1,0)</f>
        <v>#DIV/0!</v>
      </c>
      <c r="U94" s="41" t="e">
        <f>AND(Table156[[#This Row],[Last2]]&gt;0,Table156[[#This Row],[Last2]]&lt;MAX(Table156[Last2]))</f>
        <v>#DIV/0!</v>
      </c>
      <c r="V94" s="41" t="b">
        <f>OR('Data In'!B100&gt;'Data In'!B99)</f>
        <v>1</v>
      </c>
      <c r="W94" s="41">
        <f>COUNTIF($V$2:V94,"false")</f>
        <v>1</v>
      </c>
      <c r="X94" s="57"/>
    </row>
    <row r="95" spans="1:24" x14ac:dyDescent="0.45">
      <c r="A95" s="1" t="s">
        <v>113</v>
      </c>
      <c r="B95" s="1">
        <f t="shared" si="13"/>
        <v>6</v>
      </c>
      <c r="C95" s="1">
        <f t="shared" si="11"/>
        <v>12</v>
      </c>
      <c r="D95" s="1">
        <f t="shared" si="11"/>
        <v>17</v>
      </c>
      <c r="E95" s="1" t="e">
        <f t="shared" si="11"/>
        <v>#VALUE!</v>
      </c>
      <c r="F95" s="3">
        <f>IF(Table156[[#This Row],[seq]]&gt;=Table156[[#Totals],[seq]],'Data In'!B101,"")</f>
        <v>2432.88</v>
      </c>
      <c r="G95" s="4">
        <f>'Data In'!C101</f>
        <v>1.59</v>
      </c>
      <c r="H95" s="3" t="e">
        <f t="shared" si="14"/>
        <v>#VALUE!</v>
      </c>
      <c r="I95" s="1" t="b">
        <f t="shared" si="9"/>
        <v>0</v>
      </c>
      <c r="J95" s="1">
        <f>IF(Table156[[#This Row],[Rising Through Threshold]],Table156[[#This Row],[Start time]],J94)</f>
        <v>1752.72</v>
      </c>
      <c r="K95" s="1" t="str">
        <f>IF(AND(Table156[[#This Row],[Rising Through Threshold]],J94&gt;0),J95-J94,"")</f>
        <v/>
      </c>
      <c r="L95" s="1">
        <f>IF(Table156[[#This Row],[Voltage]]&gt;Threshold,1,0)</f>
        <v>0</v>
      </c>
      <c r="M95" s="1" t="b">
        <f>AND(Table156[[#This Row],[Last]]&gt;0,Table156[[#This Row],[Last]]&lt;MAX(Table156[Last]))</f>
        <v>1</v>
      </c>
      <c r="N95" s="41" t="str">
        <f>'Data In'!D101</f>
        <v>a</v>
      </c>
      <c r="O95" s="41" t="str">
        <f>'Data In'!E101</f>
        <v>a</v>
      </c>
      <c r="P95" s="41" t="e">
        <f t="shared" si="15"/>
        <v>#VALUE!</v>
      </c>
      <c r="Q95" s="41" t="e">
        <f t="shared" si="12"/>
        <v>#DIV/0!</v>
      </c>
      <c r="R95" s="41" t="e">
        <f>IF(Table156[[#This Row],[Rising Through Threshold2]],Table156[[#This Row],[Start time2]],R94)</f>
        <v>#DIV/0!</v>
      </c>
      <c r="S95" s="41" t="e">
        <f>IF(AND(Table156[[#This Row],[Rising Through Threshold2]],R94&gt;0),R95-R94,"")</f>
        <v>#DIV/0!</v>
      </c>
      <c r="T95" s="41" t="e">
        <f>IF(Table156[[#This Row],[Voltage2]]&gt;Threshold2,1,0)</f>
        <v>#DIV/0!</v>
      </c>
      <c r="U95" s="41" t="e">
        <f>AND(Table156[[#This Row],[Last2]]&gt;0,Table156[[#This Row],[Last2]]&lt;MAX(Table156[Last2]))</f>
        <v>#DIV/0!</v>
      </c>
      <c r="V95" s="41" t="b">
        <f>OR('Data In'!B101&gt;'Data In'!B100)</f>
        <v>1</v>
      </c>
      <c r="W95" s="41">
        <f>COUNTIF($V$2:V95,"false")</f>
        <v>1</v>
      </c>
      <c r="X95" s="57"/>
    </row>
    <row r="96" spans="1:24" x14ac:dyDescent="0.45">
      <c r="A96" s="1" t="s">
        <v>114</v>
      </c>
      <c r="B96" s="1">
        <f t="shared" si="13"/>
        <v>6</v>
      </c>
      <c r="C96" s="1">
        <f t="shared" si="11"/>
        <v>12</v>
      </c>
      <c r="D96" s="1">
        <f t="shared" si="11"/>
        <v>17</v>
      </c>
      <c r="E96" s="1" t="e">
        <f t="shared" si="11"/>
        <v>#VALUE!</v>
      </c>
      <c r="F96" s="3">
        <f>IF(Table156[[#This Row],[seq]]&gt;=Table156[[#Totals],[seq]],'Data In'!B102,"")</f>
        <v>2459.4</v>
      </c>
      <c r="G96" s="4">
        <f>'Data In'!C102</f>
        <v>1.84</v>
      </c>
      <c r="H96" s="3" t="e">
        <f t="shared" si="14"/>
        <v>#VALUE!</v>
      </c>
      <c r="I96" s="1" t="b">
        <f t="shared" si="9"/>
        <v>0</v>
      </c>
      <c r="J96" s="1">
        <f>IF(Table156[[#This Row],[Rising Through Threshold]],Table156[[#This Row],[Start time]],J95)</f>
        <v>1752.72</v>
      </c>
      <c r="K96" s="1" t="str">
        <f>IF(AND(Table156[[#This Row],[Rising Through Threshold]],J95&gt;0),J96-J95,"")</f>
        <v/>
      </c>
      <c r="L96" s="1">
        <f>IF(Table156[[#This Row],[Voltage]]&gt;Threshold,1,0)</f>
        <v>0</v>
      </c>
      <c r="M96" s="1" t="b">
        <f>AND(Table156[[#This Row],[Last]]&gt;0,Table156[[#This Row],[Last]]&lt;MAX(Table156[Last]))</f>
        <v>1</v>
      </c>
      <c r="N96" s="41" t="str">
        <f>'Data In'!D102</f>
        <v>a</v>
      </c>
      <c r="O96" s="41" t="str">
        <f>'Data In'!E102</f>
        <v>a</v>
      </c>
      <c r="P96" s="41" t="e">
        <f t="shared" si="15"/>
        <v>#VALUE!</v>
      </c>
      <c r="Q96" s="41" t="e">
        <f t="shared" si="12"/>
        <v>#DIV/0!</v>
      </c>
      <c r="R96" s="41" t="e">
        <f>IF(Table156[[#This Row],[Rising Through Threshold2]],Table156[[#This Row],[Start time2]],R95)</f>
        <v>#DIV/0!</v>
      </c>
      <c r="S96" s="41" t="e">
        <f>IF(AND(Table156[[#This Row],[Rising Through Threshold2]],R95&gt;0),R96-R95,"")</f>
        <v>#DIV/0!</v>
      </c>
      <c r="T96" s="41" t="e">
        <f>IF(Table156[[#This Row],[Voltage2]]&gt;Threshold2,1,0)</f>
        <v>#DIV/0!</v>
      </c>
      <c r="U96" s="41" t="e">
        <f>AND(Table156[[#This Row],[Last2]]&gt;0,Table156[[#This Row],[Last2]]&lt;MAX(Table156[Last2]))</f>
        <v>#DIV/0!</v>
      </c>
      <c r="V96" s="41" t="b">
        <f>OR('Data In'!B102&gt;'Data In'!B101)</f>
        <v>1</v>
      </c>
      <c r="W96" s="41">
        <f>COUNTIF($V$2:V96,"false")</f>
        <v>1</v>
      </c>
      <c r="X96" s="57"/>
    </row>
    <row r="97" spans="1:24" x14ac:dyDescent="0.45">
      <c r="A97" s="1" t="s">
        <v>115</v>
      </c>
      <c r="B97" s="1">
        <f t="shared" si="13"/>
        <v>6</v>
      </c>
      <c r="C97" s="1">
        <f t="shared" si="11"/>
        <v>12</v>
      </c>
      <c r="D97" s="1">
        <f t="shared" si="11"/>
        <v>17</v>
      </c>
      <c r="E97" s="1" t="e">
        <f t="shared" si="11"/>
        <v>#VALUE!</v>
      </c>
      <c r="F97" s="3">
        <f>IF(Table156[[#This Row],[seq]]&gt;=Table156[[#Totals],[seq]],'Data In'!B103,"")</f>
        <v>2485.1999999999998</v>
      </c>
      <c r="G97" s="4">
        <f>'Data In'!C103</f>
        <v>2.1</v>
      </c>
      <c r="H97" s="3" t="e">
        <f t="shared" si="14"/>
        <v>#VALUE!</v>
      </c>
      <c r="I97" s="1" t="b">
        <f t="shared" si="9"/>
        <v>0</v>
      </c>
      <c r="J97" s="1">
        <f>IF(Table156[[#This Row],[Rising Through Threshold]],Table156[[#This Row],[Start time]],J96)</f>
        <v>1752.72</v>
      </c>
      <c r="K97" s="1" t="str">
        <f>IF(AND(Table156[[#This Row],[Rising Through Threshold]],J96&gt;0),J97-J96,"")</f>
        <v/>
      </c>
      <c r="L97" s="1">
        <f>IF(Table156[[#This Row],[Voltage]]&gt;Threshold,1,0)</f>
        <v>0</v>
      </c>
      <c r="M97" s="1" t="b">
        <f>AND(Table156[[#This Row],[Last]]&gt;0,Table156[[#This Row],[Last]]&lt;MAX(Table156[Last]))</f>
        <v>1</v>
      </c>
      <c r="N97" s="41" t="str">
        <f>'Data In'!D103</f>
        <v>a</v>
      </c>
      <c r="O97" s="41" t="str">
        <f>'Data In'!E103</f>
        <v>a</v>
      </c>
      <c r="P97" s="41" t="e">
        <f t="shared" si="15"/>
        <v>#VALUE!</v>
      </c>
      <c r="Q97" s="41" t="e">
        <f t="shared" si="12"/>
        <v>#DIV/0!</v>
      </c>
      <c r="R97" s="41" t="e">
        <f>IF(Table156[[#This Row],[Rising Through Threshold2]],Table156[[#This Row],[Start time2]],R96)</f>
        <v>#DIV/0!</v>
      </c>
      <c r="S97" s="41" t="e">
        <f>IF(AND(Table156[[#This Row],[Rising Through Threshold2]],R96&gt;0),R97-R96,"")</f>
        <v>#DIV/0!</v>
      </c>
      <c r="T97" s="41" t="e">
        <f>IF(Table156[[#This Row],[Voltage2]]&gt;Threshold2,1,0)</f>
        <v>#DIV/0!</v>
      </c>
      <c r="U97" s="41" t="e">
        <f>AND(Table156[[#This Row],[Last2]]&gt;0,Table156[[#This Row],[Last2]]&lt;MAX(Table156[Last2]))</f>
        <v>#DIV/0!</v>
      </c>
      <c r="V97" s="41" t="b">
        <f>OR('Data In'!B103&gt;'Data In'!B102)</f>
        <v>1</v>
      </c>
      <c r="W97" s="41">
        <f>COUNTIF($V$2:V97,"false")</f>
        <v>1</v>
      </c>
      <c r="X97" s="57"/>
    </row>
    <row r="98" spans="1:24" x14ac:dyDescent="0.45">
      <c r="A98" s="1" t="s">
        <v>116</v>
      </c>
      <c r="B98" s="1">
        <f t="shared" si="13"/>
        <v>6</v>
      </c>
      <c r="C98" s="1">
        <f t="shared" si="11"/>
        <v>12</v>
      </c>
      <c r="D98" s="1">
        <f t="shared" si="11"/>
        <v>17</v>
      </c>
      <c r="E98" s="1" t="e">
        <f t="shared" si="11"/>
        <v>#VALUE!</v>
      </c>
      <c r="F98" s="3">
        <f>IF(Table156[[#This Row],[seq]]&gt;=Table156[[#Totals],[seq]],'Data In'!B104,"")</f>
        <v>2511.36</v>
      </c>
      <c r="G98" s="4">
        <f>'Data In'!C104</f>
        <v>2.33</v>
      </c>
      <c r="H98" s="3" t="e">
        <f t="shared" si="14"/>
        <v>#VALUE!</v>
      </c>
      <c r="I98" s="1" t="b">
        <f t="shared" si="9"/>
        <v>1</v>
      </c>
      <c r="J98" s="1">
        <f>IF(Table156[[#This Row],[Rising Through Threshold]],Table156[[#This Row],[Start time]],J97)</f>
        <v>2511.36</v>
      </c>
      <c r="K98" s="1">
        <f>IF(AND(Table156[[#This Row],[Rising Through Threshold]],J97&gt;0),J98-J97,"")</f>
        <v>758.6400000000001</v>
      </c>
      <c r="L98" s="1">
        <f>IF(Table156[[#This Row],[Voltage]]&gt;Threshold,1,0)</f>
        <v>1</v>
      </c>
      <c r="M98" s="1" t="b">
        <f>AND(Table156[[#This Row],[Last]]&gt;0,Table156[[#This Row],[Last]]&lt;MAX(Table156[Last]))</f>
        <v>1</v>
      </c>
      <c r="N98" s="41" t="str">
        <f>'Data In'!D104</f>
        <v>a</v>
      </c>
      <c r="O98" s="41" t="str">
        <f>'Data In'!E104</f>
        <v>a</v>
      </c>
      <c r="P98" s="41">
        <f t="shared" si="15"/>
        <v>0</v>
      </c>
      <c r="Q98" s="41" t="e">
        <f t="shared" ref="Q98:Q129" si="16">AND(O97&lt;Threshold2,O98&gt;Threshold2)</f>
        <v>#DIV/0!</v>
      </c>
      <c r="R98" s="41" t="e">
        <f>IF(Table156[[#This Row],[Rising Through Threshold2]],Table156[[#This Row],[Start time2]],R97)</f>
        <v>#DIV/0!</v>
      </c>
      <c r="S98" s="41" t="e">
        <f>IF(AND(Table156[[#This Row],[Rising Through Threshold2]],R97&gt;0),R98-R97,"")</f>
        <v>#DIV/0!</v>
      </c>
      <c r="T98" s="41" t="e">
        <f>IF(Table156[[#This Row],[Voltage2]]&gt;Threshold2,1,0)</f>
        <v>#DIV/0!</v>
      </c>
      <c r="U98" s="41" t="e">
        <f>AND(Table156[[#This Row],[Last2]]&gt;0,Table156[[#This Row],[Last2]]&lt;MAX(Table156[Last2]))</f>
        <v>#DIV/0!</v>
      </c>
      <c r="V98" s="41" t="b">
        <f>OR('Data In'!B104&gt;'Data In'!B103)</f>
        <v>1</v>
      </c>
      <c r="W98" s="41">
        <f>COUNTIF($V$2:V98,"false")</f>
        <v>1</v>
      </c>
      <c r="X98" s="57"/>
    </row>
    <row r="99" spans="1:24" x14ac:dyDescent="0.45">
      <c r="A99" s="1" t="s">
        <v>117</v>
      </c>
      <c r="B99" s="1">
        <f t="shared" si="13"/>
        <v>6</v>
      </c>
      <c r="C99" s="1">
        <f t="shared" si="11"/>
        <v>12</v>
      </c>
      <c r="D99" s="1">
        <f t="shared" si="11"/>
        <v>17</v>
      </c>
      <c r="E99" s="1" t="e">
        <f t="shared" si="11"/>
        <v>#VALUE!</v>
      </c>
      <c r="F99" s="3">
        <f>IF(Table156[[#This Row],[seq]]&gt;=Table156[[#Totals],[seq]],'Data In'!B105,"")</f>
        <v>2537.52</v>
      </c>
      <c r="G99" s="4">
        <f>'Data In'!C105</f>
        <v>2.5299999999999998</v>
      </c>
      <c r="H99" s="3" t="e">
        <f t="shared" si="14"/>
        <v>#VALUE!</v>
      </c>
      <c r="I99" s="1" t="b">
        <f t="shared" si="9"/>
        <v>0</v>
      </c>
      <c r="J99" s="1">
        <f>IF(Table156[[#This Row],[Rising Through Threshold]],Table156[[#This Row],[Start time]],J98)</f>
        <v>2511.36</v>
      </c>
      <c r="K99" s="1" t="str">
        <f>IF(AND(Table156[[#This Row],[Rising Through Threshold]],J98&gt;0),J99-J98,"")</f>
        <v/>
      </c>
      <c r="L99" s="1">
        <f>IF(Table156[[#This Row],[Voltage]]&gt;Threshold,1,0)</f>
        <v>1</v>
      </c>
      <c r="M99" s="1" t="b">
        <f>AND(Table156[[#This Row],[Last]]&gt;0,Table156[[#This Row],[Last]]&lt;MAX(Table156[Last]))</f>
        <v>1</v>
      </c>
      <c r="N99" s="41" t="str">
        <f>'Data In'!D105</f>
        <v>a</v>
      </c>
      <c r="O99" s="41" t="str">
        <f>'Data In'!E105</f>
        <v>a</v>
      </c>
      <c r="P99" s="41" t="e">
        <f t="shared" si="15"/>
        <v>#VALUE!</v>
      </c>
      <c r="Q99" s="41" t="e">
        <f t="shared" si="16"/>
        <v>#DIV/0!</v>
      </c>
      <c r="R99" s="41" t="e">
        <f>IF(Table156[[#This Row],[Rising Through Threshold2]],Table156[[#This Row],[Start time2]],R98)</f>
        <v>#DIV/0!</v>
      </c>
      <c r="S99" s="41" t="e">
        <f>IF(AND(Table156[[#This Row],[Rising Through Threshold2]],R98&gt;0),R99-R98,"")</f>
        <v>#DIV/0!</v>
      </c>
      <c r="T99" s="41" t="e">
        <f>IF(Table156[[#This Row],[Voltage2]]&gt;Threshold2,1,0)</f>
        <v>#DIV/0!</v>
      </c>
      <c r="U99" s="41" t="e">
        <f>AND(Table156[[#This Row],[Last2]]&gt;0,Table156[[#This Row],[Last2]]&lt;MAX(Table156[Last2]))</f>
        <v>#DIV/0!</v>
      </c>
      <c r="V99" s="41" t="b">
        <f>OR('Data In'!B105&gt;'Data In'!B104)</f>
        <v>1</v>
      </c>
      <c r="W99" s="41">
        <f>COUNTIF($V$2:V99,"false")</f>
        <v>1</v>
      </c>
      <c r="X99" s="57"/>
    </row>
    <row r="100" spans="1:24" x14ac:dyDescent="0.45">
      <c r="A100" s="1" t="s">
        <v>118</v>
      </c>
      <c r="B100" s="1">
        <f t="shared" si="13"/>
        <v>6</v>
      </c>
      <c r="C100" s="1">
        <f t="shared" si="11"/>
        <v>12</v>
      </c>
      <c r="D100" s="1">
        <f t="shared" si="11"/>
        <v>17</v>
      </c>
      <c r="E100" s="1" t="e">
        <f t="shared" si="11"/>
        <v>#VALUE!</v>
      </c>
      <c r="F100" s="3">
        <f>IF(Table156[[#This Row],[seq]]&gt;=Table156[[#Totals],[seq]],'Data In'!B106,"")</f>
        <v>2563.6799999999998</v>
      </c>
      <c r="G100" s="4">
        <f>'Data In'!C106</f>
        <v>2.73</v>
      </c>
      <c r="H100" s="3" t="e">
        <f t="shared" si="14"/>
        <v>#VALUE!</v>
      </c>
      <c r="I100" s="1" t="b">
        <f t="shared" si="9"/>
        <v>0</v>
      </c>
      <c r="J100" s="1">
        <f>IF(Table156[[#This Row],[Rising Through Threshold]],Table156[[#This Row],[Start time]],J99)</f>
        <v>2511.36</v>
      </c>
      <c r="K100" s="1" t="str">
        <f>IF(AND(Table156[[#This Row],[Rising Through Threshold]],J99&gt;0),J100-J99,"")</f>
        <v/>
      </c>
      <c r="L100" s="1">
        <f>IF(Table156[[#This Row],[Voltage]]&gt;Threshold,1,0)</f>
        <v>1</v>
      </c>
      <c r="M100" s="1" t="b">
        <f>AND(Table156[[#This Row],[Last]]&gt;0,Table156[[#This Row],[Last]]&lt;MAX(Table156[Last]))</f>
        <v>1</v>
      </c>
      <c r="N100" s="41" t="str">
        <f>'Data In'!D106</f>
        <v>a</v>
      </c>
      <c r="O100" s="41" t="str">
        <f>'Data In'!E106</f>
        <v>a</v>
      </c>
      <c r="P100" s="41" t="e">
        <f t="shared" si="15"/>
        <v>#VALUE!</v>
      </c>
      <c r="Q100" s="41" t="e">
        <f t="shared" si="16"/>
        <v>#DIV/0!</v>
      </c>
      <c r="R100" s="41" t="e">
        <f>IF(Table156[[#This Row],[Rising Through Threshold2]],Table156[[#This Row],[Start time2]],R99)</f>
        <v>#DIV/0!</v>
      </c>
      <c r="S100" s="41" t="e">
        <f>IF(AND(Table156[[#This Row],[Rising Through Threshold2]],R99&gt;0),R100-R99,"")</f>
        <v>#DIV/0!</v>
      </c>
      <c r="T100" s="41" t="e">
        <f>IF(Table156[[#This Row],[Voltage2]]&gt;Threshold2,1,0)</f>
        <v>#DIV/0!</v>
      </c>
      <c r="U100" s="41" t="e">
        <f>AND(Table156[[#This Row],[Last2]]&gt;0,Table156[[#This Row],[Last2]]&lt;MAX(Table156[Last2]))</f>
        <v>#DIV/0!</v>
      </c>
      <c r="V100" s="41" t="b">
        <f>OR('Data In'!B106&gt;'Data In'!B105)</f>
        <v>1</v>
      </c>
      <c r="W100" s="41">
        <f>COUNTIF($V$2:V100,"false")</f>
        <v>1</v>
      </c>
      <c r="X100" s="57"/>
    </row>
    <row r="101" spans="1:24" x14ac:dyDescent="0.45">
      <c r="A101" s="1" t="s">
        <v>119</v>
      </c>
      <c r="B101" s="1">
        <f t="shared" si="13"/>
        <v>6</v>
      </c>
      <c r="C101" s="1">
        <f t="shared" si="11"/>
        <v>12</v>
      </c>
      <c r="D101" s="1">
        <f t="shared" si="11"/>
        <v>17</v>
      </c>
      <c r="E101" s="1" t="e">
        <f t="shared" si="11"/>
        <v>#VALUE!</v>
      </c>
      <c r="F101" s="3">
        <f>IF(Table156[[#This Row],[seq]]&gt;=Table156[[#Totals],[seq]],'Data In'!B107,"")</f>
        <v>2589.84</v>
      </c>
      <c r="G101" s="4">
        <f>'Data In'!C107</f>
        <v>2.9</v>
      </c>
      <c r="H101" s="3" t="e">
        <f t="shared" si="14"/>
        <v>#VALUE!</v>
      </c>
      <c r="I101" s="1" t="b">
        <f t="shared" si="9"/>
        <v>0</v>
      </c>
      <c r="J101" s="1">
        <f>IF(Table156[[#This Row],[Rising Through Threshold]],Table156[[#This Row],[Start time]],J100)</f>
        <v>2511.36</v>
      </c>
      <c r="K101" s="1" t="str">
        <f>IF(AND(Table156[[#This Row],[Rising Through Threshold]],J100&gt;0),J101-J100,"")</f>
        <v/>
      </c>
      <c r="L101" s="1">
        <f>IF(Table156[[#This Row],[Voltage]]&gt;Threshold,1,0)</f>
        <v>1</v>
      </c>
      <c r="M101" s="1" t="b">
        <f>AND(Table156[[#This Row],[Last]]&gt;0,Table156[[#This Row],[Last]]&lt;MAX(Table156[Last]))</f>
        <v>1</v>
      </c>
      <c r="N101" s="41" t="str">
        <f>'Data In'!D107</f>
        <v>a</v>
      </c>
      <c r="O101" s="41" t="str">
        <f>'Data In'!E107</f>
        <v>a</v>
      </c>
      <c r="P101" s="41" t="e">
        <f t="shared" si="15"/>
        <v>#VALUE!</v>
      </c>
      <c r="Q101" s="41" t="e">
        <f t="shared" si="16"/>
        <v>#DIV/0!</v>
      </c>
      <c r="R101" s="41" t="e">
        <f>IF(Table156[[#This Row],[Rising Through Threshold2]],Table156[[#This Row],[Start time2]],R100)</f>
        <v>#DIV/0!</v>
      </c>
      <c r="S101" s="41" t="e">
        <f>IF(AND(Table156[[#This Row],[Rising Through Threshold2]],R100&gt;0),R101-R100,"")</f>
        <v>#DIV/0!</v>
      </c>
      <c r="T101" s="41" t="e">
        <f>IF(Table156[[#This Row],[Voltage2]]&gt;Threshold2,1,0)</f>
        <v>#DIV/0!</v>
      </c>
      <c r="U101" s="41" t="e">
        <f>AND(Table156[[#This Row],[Last2]]&gt;0,Table156[[#This Row],[Last2]]&lt;MAX(Table156[Last2]))</f>
        <v>#DIV/0!</v>
      </c>
      <c r="V101" s="41" t="b">
        <f>OR('Data In'!B107&gt;'Data In'!B106)</f>
        <v>1</v>
      </c>
      <c r="W101" s="41">
        <f>COUNTIF($V$2:V101,"false")</f>
        <v>1</v>
      </c>
      <c r="X101" s="57"/>
    </row>
    <row r="102" spans="1:24" x14ac:dyDescent="0.45">
      <c r="A102" s="1" t="s">
        <v>120</v>
      </c>
      <c r="B102" s="1">
        <f t="shared" si="13"/>
        <v>6</v>
      </c>
      <c r="C102" s="1">
        <f t="shared" si="11"/>
        <v>12</v>
      </c>
      <c r="D102" s="1">
        <f t="shared" si="11"/>
        <v>17</v>
      </c>
      <c r="E102" s="1" t="e">
        <f t="shared" si="11"/>
        <v>#VALUE!</v>
      </c>
      <c r="F102" s="3">
        <f>IF(Table156[[#This Row],[seq]]&gt;=Table156[[#Totals],[seq]],'Data In'!B108,"")</f>
        <v>2616</v>
      </c>
      <c r="G102" s="4">
        <f>'Data In'!C108</f>
        <v>3.06</v>
      </c>
      <c r="H102" s="3" t="e">
        <f t="shared" si="14"/>
        <v>#VALUE!</v>
      </c>
      <c r="I102" s="1" t="b">
        <f t="shared" si="9"/>
        <v>0</v>
      </c>
      <c r="J102" s="1">
        <f>IF(Table156[[#This Row],[Rising Through Threshold]],Table156[[#This Row],[Start time]],J101)</f>
        <v>2511.36</v>
      </c>
      <c r="K102" s="1" t="str">
        <f>IF(AND(Table156[[#This Row],[Rising Through Threshold]],J101&gt;0),J102-J101,"")</f>
        <v/>
      </c>
      <c r="L102" s="1">
        <f>IF(Table156[[#This Row],[Voltage]]&gt;Threshold,1,0)</f>
        <v>1</v>
      </c>
      <c r="M102" s="1" t="b">
        <f>AND(Table156[[#This Row],[Last]]&gt;0,Table156[[#This Row],[Last]]&lt;MAX(Table156[Last]))</f>
        <v>1</v>
      </c>
      <c r="N102" s="41" t="str">
        <f>'Data In'!D108</f>
        <v>a</v>
      </c>
      <c r="O102" s="41" t="str">
        <f>'Data In'!E108</f>
        <v>a</v>
      </c>
      <c r="P102" s="41" t="e">
        <f t="shared" si="15"/>
        <v>#VALUE!</v>
      </c>
      <c r="Q102" s="41" t="e">
        <f t="shared" si="16"/>
        <v>#DIV/0!</v>
      </c>
      <c r="R102" s="41" t="e">
        <f>IF(Table156[[#This Row],[Rising Through Threshold2]],Table156[[#This Row],[Start time2]],R101)</f>
        <v>#DIV/0!</v>
      </c>
      <c r="S102" s="41" t="e">
        <f>IF(AND(Table156[[#This Row],[Rising Through Threshold2]],R101&gt;0),R102-R101,"")</f>
        <v>#DIV/0!</v>
      </c>
      <c r="T102" s="41" t="e">
        <f>IF(Table156[[#This Row],[Voltage2]]&gt;Threshold2,1,0)</f>
        <v>#DIV/0!</v>
      </c>
      <c r="U102" s="41" t="e">
        <f>AND(Table156[[#This Row],[Last2]]&gt;0,Table156[[#This Row],[Last2]]&lt;MAX(Table156[Last2]))</f>
        <v>#DIV/0!</v>
      </c>
      <c r="V102" s="41" t="b">
        <f>OR('Data In'!B108&gt;'Data In'!B107)</f>
        <v>1</v>
      </c>
      <c r="W102" s="41">
        <f>COUNTIF($V$2:V102,"false")</f>
        <v>1</v>
      </c>
      <c r="X102" s="57"/>
    </row>
    <row r="103" spans="1:24" x14ac:dyDescent="0.45">
      <c r="A103" s="1" t="s">
        <v>121</v>
      </c>
      <c r="B103" s="1">
        <f t="shared" si="13"/>
        <v>6</v>
      </c>
      <c r="C103" s="1">
        <f t="shared" si="11"/>
        <v>12</v>
      </c>
      <c r="D103" s="1">
        <f t="shared" si="11"/>
        <v>17</v>
      </c>
      <c r="E103" s="1" t="e">
        <f t="shared" si="11"/>
        <v>#VALUE!</v>
      </c>
      <c r="F103" s="3">
        <f>IF(Table156[[#This Row],[seq]]&gt;=Table156[[#Totals],[seq]],'Data In'!B109,"")</f>
        <v>2642.16</v>
      </c>
      <c r="G103" s="4">
        <f>'Data In'!C109</f>
        <v>3.2</v>
      </c>
      <c r="H103" s="3" t="e">
        <f t="shared" si="14"/>
        <v>#VALUE!</v>
      </c>
      <c r="I103" s="1" t="b">
        <f t="shared" si="9"/>
        <v>0</v>
      </c>
      <c r="J103" s="1">
        <f>IF(Table156[[#This Row],[Rising Through Threshold]],Table156[[#This Row],[Start time]],J102)</f>
        <v>2511.36</v>
      </c>
      <c r="K103" s="1" t="str">
        <f>IF(AND(Table156[[#This Row],[Rising Through Threshold]],J102&gt;0),J103-J102,"")</f>
        <v/>
      </c>
      <c r="L103" s="1">
        <f>IF(Table156[[#This Row],[Voltage]]&gt;Threshold,1,0)</f>
        <v>1</v>
      </c>
      <c r="M103" s="1" t="b">
        <f>AND(Table156[[#This Row],[Last]]&gt;0,Table156[[#This Row],[Last]]&lt;MAX(Table156[Last]))</f>
        <v>1</v>
      </c>
      <c r="N103" s="41" t="str">
        <f>'Data In'!D109</f>
        <v>a</v>
      </c>
      <c r="O103" s="41" t="str">
        <f>'Data In'!E109</f>
        <v>a</v>
      </c>
      <c r="P103" s="41" t="e">
        <f t="shared" si="15"/>
        <v>#VALUE!</v>
      </c>
      <c r="Q103" s="41" t="e">
        <f t="shared" si="16"/>
        <v>#DIV/0!</v>
      </c>
      <c r="R103" s="41" t="e">
        <f>IF(Table156[[#This Row],[Rising Through Threshold2]],Table156[[#This Row],[Start time2]],R102)</f>
        <v>#DIV/0!</v>
      </c>
      <c r="S103" s="41" t="e">
        <f>IF(AND(Table156[[#This Row],[Rising Through Threshold2]],R102&gt;0),R103-R102,"")</f>
        <v>#DIV/0!</v>
      </c>
      <c r="T103" s="41" t="e">
        <f>IF(Table156[[#This Row],[Voltage2]]&gt;Threshold2,1,0)</f>
        <v>#DIV/0!</v>
      </c>
      <c r="U103" s="41" t="e">
        <f>AND(Table156[[#This Row],[Last2]]&gt;0,Table156[[#This Row],[Last2]]&lt;MAX(Table156[Last2]))</f>
        <v>#DIV/0!</v>
      </c>
      <c r="V103" s="41" t="b">
        <f>OR('Data In'!B109&gt;'Data In'!B108)</f>
        <v>1</v>
      </c>
      <c r="W103" s="41">
        <f>COUNTIF($V$2:V103,"false")</f>
        <v>1</v>
      </c>
      <c r="X103" s="57"/>
    </row>
    <row r="104" spans="1:24" x14ac:dyDescent="0.45">
      <c r="A104" s="1" t="s">
        <v>122</v>
      </c>
      <c r="B104" s="1">
        <f t="shared" si="13"/>
        <v>6</v>
      </c>
      <c r="C104" s="1">
        <f t="shared" si="11"/>
        <v>12</v>
      </c>
      <c r="D104" s="1">
        <f t="shared" si="11"/>
        <v>17</v>
      </c>
      <c r="E104" s="1" t="e">
        <f t="shared" si="11"/>
        <v>#VALUE!</v>
      </c>
      <c r="F104" s="3">
        <f>IF(Table156[[#This Row],[seq]]&gt;=Table156[[#Totals],[seq]],'Data In'!B110,"")</f>
        <v>2668.32</v>
      </c>
      <c r="G104" s="4">
        <f>'Data In'!C110</f>
        <v>3.31</v>
      </c>
      <c r="H104" s="3" t="e">
        <f t="shared" si="14"/>
        <v>#VALUE!</v>
      </c>
      <c r="I104" s="1" t="b">
        <f t="shared" si="9"/>
        <v>0</v>
      </c>
      <c r="J104" s="1">
        <f>IF(Table156[[#This Row],[Rising Through Threshold]],Table156[[#This Row],[Start time]],J103)</f>
        <v>2511.36</v>
      </c>
      <c r="K104" s="1" t="str">
        <f>IF(AND(Table156[[#This Row],[Rising Through Threshold]],J103&gt;0),J104-J103,"")</f>
        <v/>
      </c>
      <c r="L104" s="1">
        <f>IF(Table156[[#This Row],[Voltage]]&gt;Threshold,1,0)</f>
        <v>1</v>
      </c>
      <c r="M104" s="1" t="b">
        <f>AND(Table156[[#This Row],[Last]]&gt;0,Table156[[#This Row],[Last]]&lt;MAX(Table156[Last]))</f>
        <v>1</v>
      </c>
      <c r="N104" s="41" t="str">
        <f>'Data In'!D110</f>
        <v>a</v>
      </c>
      <c r="O104" s="41" t="str">
        <f>'Data In'!E110</f>
        <v>a</v>
      </c>
      <c r="P104" s="41" t="e">
        <f t="shared" si="15"/>
        <v>#VALUE!</v>
      </c>
      <c r="Q104" s="41" t="e">
        <f t="shared" si="16"/>
        <v>#DIV/0!</v>
      </c>
      <c r="R104" s="41" t="e">
        <f>IF(Table156[[#This Row],[Rising Through Threshold2]],Table156[[#This Row],[Start time2]],R103)</f>
        <v>#DIV/0!</v>
      </c>
      <c r="S104" s="41" t="e">
        <f>IF(AND(Table156[[#This Row],[Rising Through Threshold2]],R103&gt;0),R104-R103,"")</f>
        <v>#DIV/0!</v>
      </c>
      <c r="T104" s="41" t="e">
        <f>IF(Table156[[#This Row],[Voltage2]]&gt;Threshold2,1,0)</f>
        <v>#DIV/0!</v>
      </c>
      <c r="U104" s="41" t="e">
        <f>AND(Table156[[#This Row],[Last2]]&gt;0,Table156[[#This Row],[Last2]]&lt;MAX(Table156[Last2]))</f>
        <v>#DIV/0!</v>
      </c>
      <c r="V104" s="41" t="b">
        <f>OR('Data In'!B110&gt;'Data In'!B109)</f>
        <v>1</v>
      </c>
      <c r="W104" s="41">
        <f>COUNTIF($V$2:V104,"false")</f>
        <v>1</v>
      </c>
      <c r="X104" s="57"/>
    </row>
    <row r="105" spans="1:24" x14ac:dyDescent="0.45">
      <c r="A105" s="1" t="s">
        <v>123</v>
      </c>
      <c r="B105" s="1">
        <f t="shared" si="13"/>
        <v>6</v>
      </c>
      <c r="C105" s="1">
        <f t="shared" si="11"/>
        <v>12</v>
      </c>
      <c r="D105" s="1">
        <f t="shared" si="11"/>
        <v>17</v>
      </c>
      <c r="E105" s="1" t="e">
        <f t="shared" si="11"/>
        <v>#VALUE!</v>
      </c>
      <c r="F105" s="3">
        <f>IF(Table156[[#This Row],[seq]]&gt;=Table156[[#Totals],[seq]],'Data In'!B111,"")</f>
        <v>2694.48</v>
      </c>
      <c r="G105" s="4">
        <f>'Data In'!C111</f>
        <v>3.43</v>
      </c>
      <c r="H105" s="3" t="e">
        <f t="shared" si="14"/>
        <v>#VALUE!</v>
      </c>
      <c r="I105" s="1" t="b">
        <f t="shared" si="9"/>
        <v>0</v>
      </c>
      <c r="J105" s="1">
        <f>IF(Table156[[#This Row],[Rising Through Threshold]],Table156[[#This Row],[Start time]],J104)</f>
        <v>2511.36</v>
      </c>
      <c r="K105" s="1" t="str">
        <f>IF(AND(Table156[[#This Row],[Rising Through Threshold]],J104&gt;0),J105-J104,"")</f>
        <v/>
      </c>
      <c r="L105" s="1">
        <f>IF(Table156[[#This Row],[Voltage]]&gt;Threshold,1,0)</f>
        <v>1</v>
      </c>
      <c r="M105" s="1" t="b">
        <f>AND(Table156[[#This Row],[Last]]&gt;0,Table156[[#This Row],[Last]]&lt;MAX(Table156[Last]))</f>
        <v>1</v>
      </c>
      <c r="N105" s="41" t="str">
        <f>'Data In'!D111</f>
        <v>a</v>
      </c>
      <c r="O105" s="41" t="str">
        <f>'Data In'!E111</f>
        <v>a</v>
      </c>
      <c r="P105" s="41" t="e">
        <f t="shared" si="15"/>
        <v>#VALUE!</v>
      </c>
      <c r="Q105" s="41" t="e">
        <f t="shared" si="16"/>
        <v>#DIV/0!</v>
      </c>
      <c r="R105" s="41" t="e">
        <f>IF(Table156[[#This Row],[Rising Through Threshold2]],Table156[[#This Row],[Start time2]],R104)</f>
        <v>#DIV/0!</v>
      </c>
      <c r="S105" s="41" t="e">
        <f>IF(AND(Table156[[#This Row],[Rising Through Threshold2]],R104&gt;0),R105-R104,"")</f>
        <v>#DIV/0!</v>
      </c>
      <c r="T105" s="41" t="e">
        <f>IF(Table156[[#This Row],[Voltage2]]&gt;Threshold2,1,0)</f>
        <v>#DIV/0!</v>
      </c>
      <c r="U105" s="41" t="e">
        <f>AND(Table156[[#This Row],[Last2]]&gt;0,Table156[[#This Row],[Last2]]&lt;MAX(Table156[Last2]))</f>
        <v>#DIV/0!</v>
      </c>
      <c r="V105" s="41" t="b">
        <f>OR('Data In'!B111&gt;'Data In'!B110)</f>
        <v>1</v>
      </c>
      <c r="W105" s="41">
        <f>COUNTIF($V$2:V105,"false")</f>
        <v>1</v>
      </c>
      <c r="X105" s="57"/>
    </row>
    <row r="106" spans="1:24" x14ac:dyDescent="0.45">
      <c r="A106" s="1" t="s">
        <v>124</v>
      </c>
      <c r="B106" s="1">
        <f t="shared" si="13"/>
        <v>6</v>
      </c>
      <c r="C106" s="1">
        <f t="shared" si="11"/>
        <v>12</v>
      </c>
      <c r="D106" s="1">
        <f t="shared" si="11"/>
        <v>17</v>
      </c>
      <c r="E106" s="1" t="e">
        <f t="shared" si="11"/>
        <v>#VALUE!</v>
      </c>
      <c r="F106" s="3">
        <f>IF(Table156[[#This Row],[seq]]&gt;=Table156[[#Totals],[seq]],'Data In'!B112,"")</f>
        <v>2720.64</v>
      </c>
      <c r="G106" s="4">
        <f>'Data In'!C112</f>
        <v>3.55</v>
      </c>
      <c r="H106" s="3" t="e">
        <f t="shared" si="14"/>
        <v>#VALUE!</v>
      </c>
      <c r="I106" s="1" t="b">
        <f t="shared" si="9"/>
        <v>0</v>
      </c>
      <c r="J106" s="1">
        <f>IF(Table156[[#This Row],[Rising Through Threshold]],Table156[[#This Row],[Start time]],J105)</f>
        <v>2511.36</v>
      </c>
      <c r="K106" s="1" t="str">
        <f>IF(AND(Table156[[#This Row],[Rising Through Threshold]],J105&gt;0),J106-J105,"")</f>
        <v/>
      </c>
      <c r="L106" s="1">
        <f>IF(Table156[[#This Row],[Voltage]]&gt;Threshold,1,0)</f>
        <v>1</v>
      </c>
      <c r="M106" s="1" t="b">
        <f>AND(Table156[[#This Row],[Last]]&gt;0,Table156[[#This Row],[Last]]&lt;MAX(Table156[Last]))</f>
        <v>1</v>
      </c>
      <c r="N106" s="41" t="str">
        <f>'Data In'!D112</f>
        <v>a</v>
      </c>
      <c r="O106" s="41" t="str">
        <f>'Data In'!E112</f>
        <v>a</v>
      </c>
      <c r="P106" s="41" t="e">
        <f t="shared" si="15"/>
        <v>#VALUE!</v>
      </c>
      <c r="Q106" s="41" t="e">
        <f t="shared" si="16"/>
        <v>#DIV/0!</v>
      </c>
      <c r="R106" s="41" t="e">
        <f>IF(Table156[[#This Row],[Rising Through Threshold2]],Table156[[#This Row],[Start time2]],R105)</f>
        <v>#DIV/0!</v>
      </c>
      <c r="S106" s="41" t="e">
        <f>IF(AND(Table156[[#This Row],[Rising Through Threshold2]],R105&gt;0),R106-R105,"")</f>
        <v>#DIV/0!</v>
      </c>
      <c r="T106" s="41" t="e">
        <f>IF(Table156[[#This Row],[Voltage2]]&gt;Threshold2,1,0)</f>
        <v>#DIV/0!</v>
      </c>
      <c r="U106" s="41" t="e">
        <f>AND(Table156[[#This Row],[Last2]]&gt;0,Table156[[#This Row],[Last2]]&lt;MAX(Table156[Last2]))</f>
        <v>#DIV/0!</v>
      </c>
      <c r="V106" s="41" t="b">
        <f>OR('Data In'!B112&gt;'Data In'!B111)</f>
        <v>1</v>
      </c>
      <c r="W106" s="41">
        <f>COUNTIF($V$2:V106,"false")</f>
        <v>1</v>
      </c>
      <c r="X106" s="57"/>
    </row>
    <row r="107" spans="1:24" x14ac:dyDescent="0.45">
      <c r="A107" s="1" t="s">
        <v>125</v>
      </c>
      <c r="B107" s="1">
        <f t="shared" si="13"/>
        <v>6</v>
      </c>
      <c r="C107" s="1">
        <f t="shared" si="11"/>
        <v>12</v>
      </c>
      <c r="D107" s="1">
        <f t="shared" si="11"/>
        <v>17</v>
      </c>
      <c r="E107" s="1" t="e">
        <f t="shared" si="11"/>
        <v>#VALUE!</v>
      </c>
      <c r="F107" s="3">
        <f>IF(Table156[[#This Row],[seq]]&gt;=Table156[[#Totals],[seq]],'Data In'!B113,"")</f>
        <v>2746.8</v>
      </c>
      <c r="G107" s="4">
        <f>'Data In'!C113</f>
        <v>3.63</v>
      </c>
      <c r="H107" s="3" t="e">
        <f t="shared" si="14"/>
        <v>#VALUE!</v>
      </c>
      <c r="I107" s="1" t="b">
        <f t="shared" si="9"/>
        <v>0</v>
      </c>
      <c r="J107" s="1">
        <f>IF(Table156[[#This Row],[Rising Through Threshold]],Table156[[#This Row],[Start time]],J106)</f>
        <v>2511.36</v>
      </c>
      <c r="K107" s="1" t="str">
        <f>IF(AND(Table156[[#This Row],[Rising Through Threshold]],J106&gt;0),J107-J106,"")</f>
        <v/>
      </c>
      <c r="L107" s="1">
        <f>IF(Table156[[#This Row],[Voltage]]&gt;Threshold,1,0)</f>
        <v>1</v>
      </c>
      <c r="M107" s="1" t="b">
        <f>AND(Table156[[#This Row],[Last]]&gt;0,Table156[[#This Row],[Last]]&lt;MAX(Table156[Last]))</f>
        <v>1</v>
      </c>
      <c r="N107" s="41" t="str">
        <f>'Data In'!D113</f>
        <v>a</v>
      </c>
      <c r="O107" s="41" t="str">
        <f>'Data In'!E113</f>
        <v>a</v>
      </c>
      <c r="P107" s="41" t="e">
        <f t="shared" si="15"/>
        <v>#VALUE!</v>
      </c>
      <c r="Q107" s="41" t="e">
        <f t="shared" si="16"/>
        <v>#DIV/0!</v>
      </c>
      <c r="R107" s="41" t="e">
        <f>IF(Table156[[#This Row],[Rising Through Threshold2]],Table156[[#This Row],[Start time2]],R106)</f>
        <v>#DIV/0!</v>
      </c>
      <c r="S107" s="41" t="e">
        <f>IF(AND(Table156[[#This Row],[Rising Through Threshold2]],R106&gt;0),R107-R106,"")</f>
        <v>#DIV/0!</v>
      </c>
      <c r="T107" s="41" t="e">
        <f>IF(Table156[[#This Row],[Voltage2]]&gt;Threshold2,1,0)</f>
        <v>#DIV/0!</v>
      </c>
      <c r="U107" s="41" t="e">
        <f>AND(Table156[[#This Row],[Last2]]&gt;0,Table156[[#This Row],[Last2]]&lt;MAX(Table156[Last2]))</f>
        <v>#DIV/0!</v>
      </c>
      <c r="V107" s="41" t="b">
        <f>OR('Data In'!B113&gt;'Data In'!B112)</f>
        <v>1</v>
      </c>
      <c r="W107" s="41">
        <f>COUNTIF($V$2:V107,"false")</f>
        <v>1</v>
      </c>
      <c r="X107" s="57"/>
    </row>
    <row r="108" spans="1:24" x14ac:dyDescent="0.45">
      <c r="A108" s="1" t="s">
        <v>126</v>
      </c>
      <c r="B108" s="1">
        <f t="shared" si="13"/>
        <v>6</v>
      </c>
      <c r="C108" s="1">
        <f t="shared" si="11"/>
        <v>12</v>
      </c>
      <c r="D108" s="1">
        <f t="shared" si="11"/>
        <v>17</v>
      </c>
      <c r="E108" s="1" t="e">
        <f t="shared" si="11"/>
        <v>#VALUE!</v>
      </c>
      <c r="F108" s="3">
        <f>IF(Table156[[#This Row],[seq]]&gt;=Table156[[#Totals],[seq]],'Data In'!B114,"")</f>
        <v>2772.96</v>
      </c>
      <c r="G108" s="4">
        <f>'Data In'!C114</f>
        <v>3.69</v>
      </c>
      <c r="H108" s="3" t="e">
        <f t="shared" si="14"/>
        <v>#VALUE!</v>
      </c>
      <c r="I108" s="1" t="b">
        <f t="shared" si="9"/>
        <v>0</v>
      </c>
      <c r="J108" s="1">
        <f>IF(Table156[[#This Row],[Rising Through Threshold]],Table156[[#This Row],[Start time]],J107)</f>
        <v>2511.36</v>
      </c>
      <c r="K108" s="1" t="str">
        <f>IF(AND(Table156[[#This Row],[Rising Through Threshold]],J107&gt;0),J108-J107,"")</f>
        <v/>
      </c>
      <c r="L108" s="1">
        <f>IF(Table156[[#This Row],[Voltage]]&gt;Threshold,1,0)</f>
        <v>1</v>
      </c>
      <c r="M108" s="1" t="b">
        <f>AND(Table156[[#This Row],[Last]]&gt;0,Table156[[#This Row],[Last]]&lt;MAX(Table156[Last]))</f>
        <v>1</v>
      </c>
      <c r="N108" s="41" t="str">
        <f>'Data In'!D114</f>
        <v>a</v>
      </c>
      <c r="O108" s="41" t="str">
        <f>'Data In'!E114</f>
        <v>a</v>
      </c>
      <c r="P108" s="41" t="e">
        <f t="shared" si="15"/>
        <v>#VALUE!</v>
      </c>
      <c r="Q108" s="41" t="e">
        <f t="shared" si="16"/>
        <v>#DIV/0!</v>
      </c>
      <c r="R108" s="41" t="e">
        <f>IF(Table156[[#This Row],[Rising Through Threshold2]],Table156[[#This Row],[Start time2]],R107)</f>
        <v>#DIV/0!</v>
      </c>
      <c r="S108" s="41" t="e">
        <f>IF(AND(Table156[[#This Row],[Rising Through Threshold2]],R107&gt;0),R108-R107,"")</f>
        <v>#DIV/0!</v>
      </c>
      <c r="T108" s="41" t="e">
        <f>IF(Table156[[#This Row],[Voltage2]]&gt;Threshold2,1,0)</f>
        <v>#DIV/0!</v>
      </c>
      <c r="U108" s="41" t="e">
        <f>AND(Table156[[#This Row],[Last2]]&gt;0,Table156[[#This Row],[Last2]]&lt;MAX(Table156[Last2]))</f>
        <v>#DIV/0!</v>
      </c>
      <c r="V108" s="41" t="b">
        <f>OR('Data In'!B114&gt;'Data In'!B113)</f>
        <v>1</v>
      </c>
      <c r="W108" s="41">
        <f>COUNTIF($V$2:V108,"false")</f>
        <v>1</v>
      </c>
      <c r="X108" s="57"/>
    </row>
    <row r="109" spans="1:24" x14ac:dyDescent="0.45">
      <c r="A109" s="1" t="s">
        <v>127</v>
      </c>
      <c r="B109" s="1">
        <f t="shared" si="13"/>
        <v>6</v>
      </c>
      <c r="C109" s="1">
        <f t="shared" si="11"/>
        <v>12</v>
      </c>
      <c r="D109" s="1">
        <f t="shared" si="11"/>
        <v>17</v>
      </c>
      <c r="E109" s="1" t="e">
        <f t="shared" si="11"/>
        <v>#VALUE!</v>
      </c>
      <c r="F109" s="3">
        <f>IF(Table156[[#This Row],[seq]]&gt;=Table156[[#Totals],[seq]],'Data In'!B115,"")</f>
        <v>2799.12</v>
      </c>
      <c r="G109" s="4">
        <f>'Data In'!C115</f>
        <v>3.73</v>
      </c>
      <c r="H109" s="3" t="e">
        <f t="shared" si="14"/>
        <v>#VALUE!</v>
      </c>
      <c r="I109" s="1" t="b">
        <f t="shared" ref="I109:I172" si="17">AND(G108&lt;Threshold,G109&gt;Threshold)</f>
        <v>0</v>
      </c>
      <c r="J109" s="1">
        <f>IF(Table156[[#This Row],[Rising Through Threshold]],Table156[[#This Row],[Start time]],J108)</f>
        <v>2511.36</v>
      </c>
      <c r="K109" s="1" t="str">
        <f>IF(AND(Table156[[#This Row],[Rising Through Threshold]],J108&gt;0),J109-J108,"")</f>
        <v/>
      </c>
      <c r="L109" s="1">
        <f>IF(Table156[[#This Row],[Voltage]]&gt;Threshold,1,0)</f>
        <v>1</v>
      </c>
      <c r="M109" s="1" t="b">
        <f>AND(Table156[[#This Row],[Last]]&gt;0,Table156[[#This Row],[Last]]&lt;MAX(Table156[Last]))</f>
        <v>1</v>
      </c>
      <c r="N109" s="41" t="str">
        <f>'Data In'!D115</f>
        <v>a</v>
      </c>
      <c r="O109" s="41" t="str">
        <f>'Data In'!E115</f>
        <v>a</v>
      </c>
      <c r="P109" s="41" t="e">
        <f t="shared" si="15"/>
        <v>#VALUE!</v>
      </c>
      <c r="Q109" s="41" t="e">
        <f t="shared" si="16"/>
        <v>#DIV/0!</v>
      </c>
      <c r="R109" s="41" t="e">
        <f>IF(Table156[[#This Row],[Rising Through Threshold2]],Table156[[#This Row],[Start time2]],R108)</f>
        <v>#DIV/0!</v>
      </c>
      <c r="S109" s="41" t="e">
        <f>IF(AND(Table156[[#This Row],[Rising Through Threshold2]],R108&gt;0),R109-R108,"")</f>
        <v>#DIV/0!</v>
      </c>
      <c r="T109" s="41" t="e">
        <f>IF(Table156[[#This Row],[Voltage2]]&gt;Threshold2,1,0)</f>
        <v>#DIV/0!</v>
      </c>
      <c r="U109" s="41" t="e">
        <f>AND(Table156[[#This Row],[Last2]]&gt;0,Table156[[#This Row],[Last2]]&lt;MAX(Table156[Last2]))</f>
        <v>#DIV/0!</v>
      </c>
      <c r="V109" s="41" t="b">
        <f>OR('Data In'!B115&gt;'Data In'!B114)</f>
        <v>1</v>
      </c>
      <c r="W109" s="41">
        <f>COUNTIF($V$2:V109,"false")</f>
        <v>1</v>
      </c>
      <c r="X109" s="57"/>
    </row>
    <row r="110" spans="1:24" x14ac:dyDescent="0.45">
      <c r="A110" s="1" t="s">
        <v>128</v>
      </c>
      <c r="B110" s="1">
        <f t="shared" si="13"/>
        <v>6</v>
      </c>
      <c r="C110" s="1">
        <f t="shared" si="11"/>
        <v>12</v>
      </c>
      <c r="D110" s="1">
        <f t="shared" si="11"/>
        <v>17</v>
      </c>
      <c r="E110" s="1" t="e">
        <f t="shared" si="11"/>
        <v>#VALUE!</v>
      </c>
      <c r="F110" s="3">
        <f>IF(Table156[[#This Row],[seq]]&gt;=Table156[[#Totals],[seq]],'Data In'!B116,"")</f>
        <v>2825.28</v>
      </c>
      <c r="G110" s="4">
        <f>'Data In'!C116</f>
        <v>3.73</v>
      </c>
      <c r="H110" s="3" t="e">
        <f t="shared" si="14"/>
        <v>#VALUE!</v>
      </c>
      <c r="I110" s="1" t="b">
        <f t="shared" si="17"/>
        <v>0</v>
      </c>
      <c r="J110" s="1">
        <f>IF(Table156[[#This Row],[Rising Through Threshold]],Table156[[#This Row],[Start time]],J109)</f>
        <v>2511.36</v>
      </c>
      <c r="K110" s="1" t="str">
        <f>IF(AND(Table156[[#This Row],[Rising Through Threshold]],J109&gt;0),J110-J109,"")</f>
        <v/>
      </c>
      <c r="L110" s="1">
        <f>IF(Table156[[#This Row],[Voltage]]&gt;Threshold,1,0)</f>
        <v>1</v>
      </c>
      <c r="M110" s="1" t="b">
        <f>AND(Table156[[#This Row],[Last]]&gt;0,Table156[[#This Row],[Last]]&lt;MAX(Table156[Last]))</f>
        <v>1</v>
      </c>
      <c r="N110" s="41" t="str">
        <f>'Data In'!D116</f>
        <v>a</v>
      </c>
      <c r="O110" s="41" t="str">
        <f>'Data In'!E116</f>
        <v>a</v>
      </c>
      <c r="P110" s="41" t="e">
        <f t="shared" si="15"/>
        <v>#VALUE!</v>
      </c>
      <c r="Q110" s="41" t="e">
        <f t="shared" si="16"/>
        <v>#DIV/0!</v>
      </c>
      <c r="R110" s="41" t="e">
        <f>IF(Table156[[#This Row],[Rising Through Threshold2]],Table156[[#This Row],[Start time2]],R109)</f>
        <v>#DIV/0!</v>
      </c>
      <c r="S110" s="41" t="e">
        <f>IF(AND(Table156[[#This Row],[Rising Through Threshold2]],R109&gt;0),R110-R109,"")</f>
        <v>#DIV/0!</v>
      </c>
      <c r="T110" s="41" t="e">
        <f>IF(Table156[[#This Row],[Voltage2]]&gt;Threshold2,1,0)</f>
        <v>#DIV/0!</v>
      </c>
      <c r="U110" s="41" t="e">
        <f>AND(Table156[[#This Row],[Last2]]&gt;0,Table156[[#This Row],[Last2]]&lt;MAX(Table156[Last2]))</f>
        <v>#DIV/0!</v>
      </c>
      <c r="V110" s="41" t="b">
        <f>OR('Data In'!B116&gt;'Data In'!B115)</f>
        <v>1</v>
      </c>
      <c r="W110" s="41">
        <f>COUNTIF($V$2:V110,"false")</f>
        <v>1</v>
      </c>
      <c r="X110" s="57"/>
    </row>
    <row r="111" spans="1:24" x14ac:dyDescent="0.45">
      <c r="A111" s="1" t="s">
        <v>129</v>
      </c>
      <c r="B111" s="1">
        <f t="shared" si="13"/>
        <v>6</v>
      </c>
      <c r="C111" s="1">
        <f t="shared" si="11"/>
        <v>12</v>
      </c>
      <c r="D111" s="1">
        <f t="shared" si="11"/>
        <v>17</v>
      </c>
      <c r="E111" s="1" t="e">
        <f t="shared" si="11"/>
        <v>#VALUE!</v>
      </c>
      <c r="F111" s="3">
        <f>IF(Table156[[#This Row],[seq]]&gt;=Table156[[#Totals],[seq]],'Data In'!B117,"")</f>
        <v>2851.44</v>
      </c>
      <c r="G111" s="4">
        <f>'Data In'!C117</f>
        <v>3.61</v>
      </c>
      <c r="H111" s="3" t="e">
        <f t="shared" si="14"/>
        <v>#VALUE!</v>
      </c>
      <c r="I111" s="1" t="b">
        <f t="shared" si="17"/>
        <v>0</v>
      </c>
      <c r="J111" s="1">
        <f>IF(Table156[[#This Row],[Rising Through Threshold]],Table156[[#This Row],[Start time]],J110)</f>
        <v>2511.36</v>
      </c>
      <c r="K111" s="1" t="str">
        <f>IF(AND(Table156[[#This Row],[Rising Through Threshold]],J110&gt;0),J111-J110,"")</f>
        <v/>
      </c>
      <c r="L111" s="1">
        <f>IF(Table156[[#This Row],[Voltage]]&gt;Threshold,1,0)</f>
        <v>1</v>
      </c>
      <c r="M111" s="1" t="b">
        <f>AND(Table156[[#This Row],[Last]]&gt;0,Table156[[#This Row],[Last]]&lt;MAX(Table156[Last]))</f>
        <v>1</v>
      </c>
      <c r="N111" s="41" t="str">
        <f>'Data In'!D117</f>
        <v>a</v>
      </c>
      <c r="O111" s="41" t="str">
        <f>'Data In'!E117</f>
        <v>a</v>
      </c>
      <c r="P111" s="41" t="e">
        <f t="shared" si="15"/>
        <v>#VALUE!</v>
      </c>
      <c r="Q111" s="41" t="e">
        <f t="shared" si="16"/>
        <v>#DIV/0!</v>
      </c>
      <c r="R111" s="41" t="e">
        <f>IF(Table156[[#This Row],[Rising Through Threshold2]],Table156[[#This Row],[Start time2]],R110)</f>
        <v>#DIV/0!</v>
      </c>
      <c r="S111" s="41" t="e">
        <f>IF(AND(Table156[[#This Row],[Rising Through Threshold2]],R110&gt;0),R111-R110,"")</f>
        <v>#DIV/0!</v>
      </c>
      <c r="T111" s="41" t="e">
        <f>IF(Table156[[#This Row],[Voltage2]]&gt;Threshold2,1,0)</f>
        <v>#DIV/0!</v>
      </c>
      <c r="U111" s="41" t="e">
        <f>AND(Table156[[#This Row],[Last2]]&gt;0,Table156[[#This Row],[Last2]]&lt;MAX(Table156[Last2]))</f>
        <v>#DIV/0!</v>
      </c>
      <c r="V111" s="41" t="b">
        <f>OR('Data In'!B117&gt;'Data In'!B116)</f>
        <v>1</v>
      </c>
      <c r="W111" s="41">
        <f>COUNTIF($V$2:V111,"false")</f>
        <v>1</v>
      </c>
      <c r="X111" s="57"/>
    </row>
    <row r="112" spans="1:24" x14ac:dyDescent="0.45">
      <c r="A112" s="1" t="s">
        <v>130</v>
      </c>
      <c r="B112" s="1">
        <f t="shared" si="13"/>
        <v>6</v>
      </c>
      <c r="C112" s="1">
        <f t="shared" si="11"/>
        <v>12</v>
      </c>
      <c r="D112" s="1">
        <f t="shared" si="11"/>
        <v>17</v>
      </c>
      <c r="E112" s="1" t="e">
        <f t="shared" si="11"/>
        <v>#VALUE!</v>
      </c>
      <c r="F112" s="3">
        <f>IF(Table156[[#This Row],[seq]]&gt;=Table156[[#Totals],[seq]],'Data In'!B118,"")</f>
        <v>2877.6</v>
      </c>
      <c r="G112" s="4">
        <f>'Data In'!C118</f>
        <v>3.35</v>
      </c>
      <c r="H112" s="3" t="e">
        <f t="shared" si="14"/>
        <v>#VALUE!</v>
      </c>
      <c r="I112" s="1" t="b">
        <f t="shared" si="17"/>
        <v>0</v>
      </c>
      <c r="J112" s="1">
        <f>IF(Table156[[#This Row],[Rising Through Threshold]],Table156[[#This Row],[Start time]],J111)</f>
        <v>2511.36</v>
      </c>
      <c r="K112" s="1" t="str">
        <f>IF(AND(Table156[[#This Row],[Rising Through Threshold]],J111&gt;0),J112-J111,"")</f>
        <v/>
      </c>
      <c r="L112" s="1">
        <f>IF(Table156[[#This Row],[Voltage]]&gt;Threshold,1,0)</f>
        <v>1</v>
      </c>
      <c r="M112" s="1" t="b">
        <f>AND(Table156[[#This Row],[Last]]&gt;0,Table156[[#This Row],[Last]]&lt;MAX(Table156[Last]))</f>
        <v>1</v>
      </c>
      <c r="N112" s="41" t="str">
        <f>'Data In'!D118</f>
        <v>a</v>
      </c>
      <c r="O112" s="41" t="str">
        <f>'Data In'!E118</f>
        <v>a</v>
      </c>
      <c r="P112" s="41" t="e">
        <f t="shared" si="15"/>
        <v>#VALUE!</v>
      </c>
      <c r="Q112" s="41" t="e">
        <f t="shared" si="16"/>
        <v>#DIV/0!</v>
      </c>
      <c r="R112" s="41" t="e">
        <f>IF(Table156[[#This Row],[Rising Through Threshold2]],Table156[[#This Row],[Start time2]],R111)</f>
        <v>#DIV/0!</v>
      </c>
      <c r="S112" s="41" t="e">
        <f>IF(AND(Table156[[#This Row],[Rising Through Threshold2]],R111&gt;0),R112-R111,"")</f>
        <v>#DIV/0!</v>
      </c>
      <c r="T112" s="41" t="e">
        <f>IF(Table156[[#This Row],[Voltage2]]&gt;Threshold2,1,0)</f>
        <v>#DIV/0!</v>
      </c>
      <c r="U112" s="41" t="e">
        <f>AND(Table156[[#This Row],[Last2]]&gt;0,Table156[[#This Row],[Last2]]&lt;MAX(Table156[Last2]))</f>
        <v>#DIV/0!</v>
      </c>
      <c r="V112" s="41" t="b">
        <f>OR('Data In'!B118&gt;'Data In'!B117)</f>
        <v>1</v>
      </c>
      <c r="W112" s="41">
        <f>COUNTIF($V$2:V112,"false")</f>
        <v>1</v>
      </c>
      <c r="X112" s="57"/>
    </row>
    <row r="113" spans="1:24" x14ac:dyDescent="0.45">
      <c r="A113" s="1" t="s">
        <v>131</v>
      </c>
      <c r="B113" s="1">
        <f t="shared" si="13"/>
        <v>6</v>
      </c>
      <c r="C113" s="1">
        <f t="shared" si="11"/>
        <v>12</v>
      </c>
      <c r="D113" s="1">
        <f t="shared" si="11"/>
        <v>17</v>
      </c>
      <c r="E113" s="1" t="e">
        <f t="shared" si="11"/>
        <v>#VALUE!</v>
      </c>
      <c r="F113" s="3">
        <f>IF(Table156[[#This Row],[seq]]&gt;=Table156[[#Totals],[seq]],'Data In'!B119,"")</f>
        <v>2903.76</v>
      </c>
      <c r="G113" s="4">
        <f>'Data In'!C119</f>
        <v>2.88</v>
      </c>
      <c r="H113" s="3" t="e">
        <f t="shared" si="14"/>
        <v>#VALUE!</v>
      </c>
      <c r="I113" s="1" t="b">
        <f t="shared" si="17"/>
        <v>0</v>
      </c>
      <c r="J113" s="1">
        <f>IF(Table156[[#This Row],[Rising Through Threshold]],Table156[[#This Row],[Start time]],J112)</f>
        <v>2511.36</v>
      </c>
      <c r="K113" s="1" t="str">
        <f>IF(AND(Table156[[#This Row],[Rising Through Threshold]],J112&gt;0),J113-J112,"")</f>
        <v/>
      </c>
      <c r="L113" s="1">
        <f>IF(Table156[[#This Row],[Voltage]]&gt;Threshold,1,0)</f>
        <v>1</v>
      </c>
      <c r="M113" s="1" t="b">
        <f>AND(Table156[[#This Row],[Last]]&gt;0,Table156[[#This Row],[Last]]&lt;MAX(Table156[Last]))</f>
        <v>1</v>
      </c>
      <c r="N113" s="41" t="str">
        <f>'Data In'!D119</f>
        <v>a</v>
      </c>
      <c r="O113" s="41" t="str">
        <f>'Data In'!E119</f>
        <v>a</v>
      </c>
      <c r="P113" s="41" t="e">
        <f t="shared" si="15"/>
        <v>#VALUE!</v>
      </c>
      <c r="Q113" s="41" t="e">
        <f t="shared" si="16"/>
        <v>#DIV/0!</v>
      </c>
      <c r="R113" s="41" t="e">
        <f>IF(Table156[[#This Row],[Rising Through Threshold2]],Table156[[#This Row],[Start time2]],R112)</f>
        <v>#DIV/0!</v>
      </c>
      <c r="S113" s="41" t="e">
        <f>IF(AND(Table156[[#This Row],[Rising Through Threshold2]],R112&gt;0),R113-R112,"")</f>
        <v>#DIV/0!</v>
      </c>
      <c r="T113" s="41" t="e">
        <f>IF(Table156[[#This Row],[Voltage2]]&gt;Threshold2,1,0)</f>
        <v>#DIV/0!</v>
      </c>
      <c r="U113" s="41" t="e">
        <f>AND(Table156[[#This Row],[Last2]]&gt;0,Table156[[#This Row],[Last2]]&lt;MAX(Table156[Last2]))</f>
        <v>#DIV/0!</v>
      </c>
      <c r="V113" s="41" t="b">
        <f>OR('Data In'!B119&gt;'Data In'!B118)</f>
        <v>1</v>
      </c>
      <c r="W113" s="41">
        <f>COUNTIF($V$2:V113,"false")</f>
        <v>1</v>
      </c>
      <c r="X113" s="57"/>
    </row>
    <row r="114" spans="1:24" x14ac:dyDescent="0.45">
      <c r="A114" s="1" t="s">
        <v>132</v>
      </c>
      <c r="B114" s="1">
        <f t="shared" si="13"/>
        <v>6</v>
      </c>
      <c r="C114" s="1">
        <f t="shared" si="11"/>
        <v>12</v>
      </c>
      <c r="D114" s="1">
        <f t="shared" si="11"/>
        <v>17</v>
      </c>
      <c r="E114" s="1" t="e">
        <f t="shared" si="11"/>
        <v>#VALUE!</v>
      </c>
      <c r="F114" s="3">
        <f>IF(Table156[[#This Row],[seq]]&gt;=Table156[[#Totals],[seq]],'Data In'!B120,"")</f>
        <v>2929.92</v>
      </c>
      <c r="G114" s="4">
        <f>'Data In'!C120</f>
        <v>2.25</v>
      </c>
      <c r="H114" s="3" t="e">
        <f t="shared" si="14"/>
        <v>#VALUE!</v>
      </c>
      <c r="I114" s="1" t="b">
        <f t="shared" si="17"/>
        <v>0</v>
      </c>
      <c r="J114" s="1">
        <f>IF(Table156[[#This Row],[Rising Through Threshold]],Table156[[#This Row],[Start time]],J113)</f>
        <v>2511.36</v>
      </c>
      <c r="K114" s="1" t="str">
        <f>IF(AND(Table156[[#This Row],[Rising Through Threshold]],J113&gt;0),J114-J113,"")</f>
        <v/>
      </c>
      <c r="L114" s="1">
        <f>IF(Table156[[#This Row],[Voltage]]&gt;Threshold,1,0)</f>
        <v>0</v>
      </c>
      <c r="M114" s="1" t="b">
        <f>AND(Table156[[#This Row],[Last]]&gt;0,Table156[[#This Row],[Last]]&lt;MAX(Table156[Last]))</f>
        <v>1</v>
      </c>
      <c r="N114" s="41" t="str">
        <f>'Data In'!D120</f>
        <v>a</v>
      </c>
      <c r="O114" s="41" t="str">
        <f>'Data In'!E120</f>
        <v>a</v>
      </c>
      <c r="P114" s="41" t="e">
        <f t="shared" si="15"/>
        <v>#VALUE!</v>
      </c>
      <c r="Q114" s="41" t="e">
        <f t="shared" si="16"/>
        <v>#DIV/0!</v>
      </c>
      <c r="R114" s="41" t="e">
        <f>IF(Table156[[#This Row],[Rising Through Threshold2]],Table156[[#This Row],[Start time2]],R113)</f>
        <v>#DIV/0!</v>
      </c>
      <c r="S114" s="41" t="e">
        <f>IF(AND(Table156[[#This Row],[Rising Through Threshold2]],R113&gt;0),R114-R113,"")</f>
        <v>#DIV/0!</v>
      </c>
      <c r="T114" s="41" t="e">
        <f>IF(Table156[[#This Row],[Voltage2]]&gt;Threshold2,1,0)</f>
        <v>#DIV/0!</v>
      </c>
      <c r="U114" s="41" t="e">
        <f>AND(Table156[[#This Row],[Last2]]&gt;0,Table156[[#This Row],[Last2]]&lt;MAX(Table156[Last2]))</f>
        <v>#DIV/0!</v>
      </c>
      <c r="V114" s="41" t="b">
        <f>OR('Data In'!B120&gt;'Data In'!B119)</f>
        <v>1</v>
      </c>
      <c r="W114" s="41">
        <f>COUNTIF($V$2:V114,"false")</f>
        <v>1</v>
      </c>
      <c r="X114" s="57"/>
    </row>
    <row r="115" spans="1:24" x14ac:dyDescent="0.45">
      <c r="A115" s="1" t="s">
        <v>133</v>
      </c>
      <c r="B115" s="1">
        <f t="shared" si="13"/>
        <v>6</v>
      </c>
      <c r="C115" s="1">
        <f t="shared" si="11"/>
        <v>12</v>
      </c>
      <c r="D115" s="1">
        <f t="shared" si="11"/>
        <v>17</v>
      </c>
      <c r="E115" s="1" t="e">
        <f t="shared" si="11"/>
        <v>#VALUE!</v>
      </c>
      <c r="F115" s="3">
        <f>IF(Table156[[#This Row],[seq]]&gt;=Table156[[#Totals],[seq]],'Data In'!B121,"")</f>
        <v>2956.8</v>
      </c>
      <c r="G115" s="4">
        <f>'Data In'!C121</f>
        <v>1.53</v>
      </c>
      <c r="H115" s="3" t="e">
        <f t="shared" si="14"/>
        <v>#VALUE!</v>
      </c>
      <c r="I115" s="1" t="b">
        <f t="shared" si="17"/>
        <v>0</v>
      </c>
      <c r="J115" s="1">
        <f>IF(Table156[[#This Row],[Rising Through Threshold]],Table156[[#This Row],[Start time]],J114)</f>
        <v>2511.36</v>
      </c>
      <c r="K115" s="1" t="str">
        <f>IF(AND(Table156[[#This Row],[Rising Through Threshold]],J114&gt;0),J115-J114,"")</f>
        <v/>
      </c>
      <c r="L115" s="1">
        <f>IF(Table156[[#This Row],[Voltage]]&gt;Threshold,1,0)</f>
        <v>0</v>
      </c>
      <c r="M115" s="1" t="b">
        <f>AND(Table156[[#This Row],[Last]]&gt;0,Table156[[#This Row],[Last]]&lt;MAX(Table156[Last]))</f>
        <v>1</v>
      </c>
      <c r="N115" s="41" t="str">
        <f>'Data In'!D121</f>
        <v>a</v>
      </c>
      <c r="O115" s="41" t="str">
        <f>'Data In'!E121</f>
        <v>a</v>
      </c>
      <c r="P115" s="41" t="e">
        <f t="shared" si="15"/>
        <v>#VALUE!</v>
      </c>
      <c r="Q115" s="41" t="e">
        <f t="shared" si="16"/>
        <v>#DIV/0!</v>
      </c>
      <c r="R115" s="41" t="e">
        <f>IF(Table156[[#This Row],[Rising Through Threshold2]],Table156[[#This Row],[Start time2]],R114)</f>
        <v>#DIV/0!</v>
      </c>
      <c r="S115" s="41" t="e">
        <f>IF(AND(Table156[[#This Row],[Rising Through Threshold2]],R114&gt;0),R115-R114,"")</f>
        <v>#DIV/0!</v>
      </c>
      <c r="T115" s="41" t="e">
        <f>IF(Table156[[#This Row],[Voltage2]]&gt;Threshold2,1,0)</f>
        <v>#DIV/0!</v>
      </c>
      <c r="U115" s="41" t="e">
        <f>AND(Table156[[#This Row],[Last2]]&gt;0,Table156[[#This Row],[Last2]]&lt;MAX(Table156[Last2]))</f>
        <v>#DIV/0!</v>
      </c>
      <c r="V115" s="41" t="b">
        <f>OR('Data In'!B121&gt;'Data In'!B120)</f>
        <v>1</v>
      </c>
      <c r="W115" s="41">
        <f>COUNTIF($V$2:V115,"false")</f>
        <v>1</v>
      </c>
      <c r="X115" s="57"/>
    </row>
    <row r="116" spans="1:24" x14ac:dyDescent="0.45">
      <c r="A116" s="1" t="s">
        <v>134</v>
      </c>
      <c r="B116" s="1">
        <f t="shared" si="13"/>
        <v>6</v>
      </c>
      <c r="C116" s="1">
        <f t="shared" si="11"/>
        <v>12</v>
      </c>
      <c r="D116" s="1">
        <f t="shared" si="11"/>
        <v>17</v>
      </c>
      <c r="E116" s="1" t="e">
        <f t="shared" si="11"/>
        <v>#VALUE!</v>
      </c>
      <c r="F116" s="3">
        <f>IF(Table156[[#This Row],[seq]]&gt;=Table156[[#Totals],[seq]],'Data In'!B122,"")</f>
        <v>2982.24</v>
      </c>
      <c r="G116" s="4">
        <f>'Data In'!C122</f>
        <v>0.82</v>
      </c>
      <c r="H116" s="3" t="e">
        <f t="shared" si="14"/>
        <v>#VALUE!</v>
      </c>
      <c r="I116" s="1" t="b">
        <f t="shared" si="17"/>
        <v>0</v>
      </c>
      <c r="J116" s="1">
        <f>IF(Table156[[#This Row],[Rising Through Threshold]],Table156[[#This Row],[Start time]],J115)</f>
        <v>2511.36</v>
      </c>
      <c r="K116" s="1" t="str">
        <f>IF(AND(Table156[[#This Row],[Rising Through Threshold]],J115&gt;0),J116-J115,"")</f>
        <v/>
      </c>
      <c r="L116" s="1">
        <f>IF(Table156[[#This Row],[Voltage]]&gt;Threshold,1,0)</f>
        <v>0</v>
      </c>
      <c r="M116" s="1" t="b">
        <f>AND(Table156[[#This Row],[Last]]&gt;0,Table156[[#This Row],[Last]]&lt;MAX(Table156[Last]))</f>
        <v>1</v>
      </c>
      <c r="N116" s="41" t="str">
        <f>'Data In'!D122</f>
        <v>a</v>
      </c>
      <c r="O116" s="41" t="str">
        <f>'Data In'!E122</f>
        <v>a</v>
      </c>
      <c r="P116" s="41" t="e">
        <f t="shared" si="15"/>
        <v>#VALUE!</v>
      </c>
      <c r="Q116" s="41" t="e">
        <f t="shared" si="16"/>
        <v>#DIV/0!</v>
      </c>
      <c r="R116" s="41" t="e">
        <f>IF(Table156[[#This Row],[Rising Through Threshold2]],Table156[[#This Row],[Start time2]],R115)</f>
        <v>#DIV/0!</v>
      </c>
      <c r="S116" s="41" t="e">
        <f>IF(AND(Table156[[#This Row],[Rising Through Threshold2]],R115&gt;0),R116-R115,"")</f>
        <v>#DIV/0!</v>
      </c>
      <c r="T116" s="41" t="e">
        <f>IF(Table156[[#This Row],[Voltage2]]&gt;Threshold2,1,0)</f>
        <v>#DIV/0!</v>
      </c>
      <c r="U116" s="41" t="e">
        <f>AND(Table156[[#This Row],[Last2]]&gt;0,Table156[[#This Row],[Last2]]&lt;MAX(Table156[Last2]))</f>
        <v>#DIV/0!</v>
      </c>
      <c r="V116" s="41" t="b">
        <f>OR('Data In'!B122&gt;'Data In'!B121)</f>
        <v>1</v>
      </c>
      <c r="W116" s="41">
        <f>COUNTIF($V$2:V116,"false")</f>
        <v>1</v>
      </c>
      <c r="X116" s="57"/>
    </row>
    <row r="117" spans="1:24" x14ac:dyDescent="0.45">
      <c r="A117" s="1" t="s">
        <v>135</v>
      </c>
      <c r="B117" s="1">
        <f t="shared" si="13"/>
        <v>6</v>
      </c>
      <c r="C117" s="1">
        <f t="shared" si="11"/>
        <v>12</v>
      </c>
      <c r="D117" s="1">
        <f t="shared" si="11"/>
        <v>17</v>
      </c>
      <c r="E117" s="1" t="e">
        <f t="shared" si="11"/>
        <v>#VALUE!</v>
      </c>
      <c r="F117" s="3">
        <f>IF(Table156[[#This Row],[seq]]&gt;=Table156[[#Totals],[seq]],'Data In'!B123,"")</f>
        <v>3008.4</v>
      </c>
      <c r="G117" s="4">
        <f>'Data In'!C123</f>
        <v>0.43</v>
      </c>
      <c r="H117" s="3" t="e">
        <f t="shared" si="14"/>
        <v>#VALUE!</v>
      </c>
      <c r="I117" s="1" t="b">
        <f t="shared" si="17"/>
        <v>0</v>
      </c>
      <c r="J117" s="1">
        <f>IF(Table156[[#This Row],[Rising Through Threshold]],Table156[[#This Row],[Start time]],J116)</f>
        <v>2511.36</v>
      </c>
      <c r="K117" s="1" t="str">
        <f>IF(AND(Table156[[#This Row],[Rising Through Threshold]],J116&gt;0),J117-J116,"")</f>
        <v/>
      </c>
      <c r="L117" s="1">
        <f>IF(Table156[[#This Row],[Voltage]]&gt;Threshold,1,0)</f>
        <v>0</v>
      </c>
      <c r="M117" s="1" t="b">
        <f>AND(Table156[[#This Row],[Last]]&gt;0,Table156[[#This Row],[Last]]&lt;MAX(Table156[Last]))</f>
        <v>1</v>
      </c>
      <c r="N117" s="41" t="str">
        <f>'Data In'!D123</f>
        <v>a</v>
      </c>
      <c r="O117" s="41" t="str">
        <f>'Data In'!E123</f>
        <v>a</v>
      </c>
      <c r="P117" s="41" t="e">
        <f t="shared" si="15"/>
        <v>#VALUE!</v>
      </c>
      <c r="Q117" s="41" t="e">
        <f t="shared" si="16"/>
        <v>#DIV/0!</v>
      </c>
      <c r="R117" s="41" t="e">
        <f>IF(Table156[[#This Row],[Rising Through Threshold2]],Table156[[#This Row],[Start time2]],R116)</f>
        <v>#DIV/0!</v>
      </c>
      <c r="S117" s="41" t="e">
        <f>IF(AND(Table156[[#This Row],[Rising Through Threshold2]],R116&gt;0),R117-R116,"")</f>
        <v>#DIV/0!</v>
      </c>
      <c r="T117" s="41" t="e">
        <f>IF(Table156[[#This Row],[Voltage2]]&gt;Threshold2,1,0)</f>
        <v>#DIV/0!</v>
      </c>
      <c r="U117" s="41" t="e">
        <f>AND(Table156[[#This Row],[Last2]]&gt;0,Table156[[#This Row],[Last2]]&lt;MAX(Table156[Last2]))</f>
        <v>#DIV/0!</v>
      </c>
      <c r="V117" s="41" t="b">
        <f>OR('Data In'!B123&gt;'Data In'!B122)</f>
        <v>1</v>
      </c>
      <c r="W117" s="41">
        <f>COUNTIF($V$2:V117,"false")</f>
        <v>1</v>
      </c>
      <c r="X117" s="57"/>
    </row>
    <row r="118" spans="1:24" x14ac:dyDescent="0.45">
      <c r="A118" s="1" t="s">
        <v>136</v>
      </c>
      <c r="B118" s="1">
        <f t="shared" si="13"/>
        <v>6</v>
      </c>
      <c r="C118" s="1">
        <f t="shared" si="11"/>
        <v>12</v>
      </c>
      <c r="D118" s="1">
        <f t="shared" si="11"/>
        <v>17</v>
      </c>
      <c r="E118" s="1" t="e">
        <f t="shared" si="11"/>
        <v>#VALUE!</v>
      </c>
      <c r="F118" s="3">
        <f>IF(Table156[[#This Row],[seq]]&gt;=Table156[[#Totals],[seq]],'Data In'!B124,"")</f>
        <v>3034.56</v>
      </c>
      <c r="G118" s="4">
        <f>'Data In'!C124</f>
        <v>0.45</v>
      </c>
      <c r="H118" s="3" t="e">
        <f t="shared" si="14"/>
        <v>#VALUE!</v>
      </c>
      <c r="I118" s="1" t="b">
        <f t="shared" si="17"/>
        <v>0</v>
      </c>
      <c r="J118" s="1">
        <f>IF(Table156[[#This Row],[Rising Through Threshold]],Table156[[#This Row],[Start time]],J117)</f>
        <v>2511.36</v>
      </c>
      <c r="K118" s="1" t="str">
        <f>IF(AND(Table156[[#This Row],[Rising Through Threshold]],J117&gt;0),J118-J117,"")</f>
        <v/>
      </c>
      <c r="L118" s="1">
        <f>IF(Table156[[#This Row],[Voltage]]&gt;Threshold,1,0)</f>
        <v>0</v>
      </c>
      <c r="M118" s="1" t="b">
        <f>AND(Table156[[#This Row],[Last]]&gt;0,Table156[[#This Row],[Last]]&lt;MAX(Table156[Last]))</f>
        <v>1</v>
      </c>
      <c r="N118" s="41" t="str">
        <f>'Data In'!D124</f>
        <v>a</v>
      </c>
      <c r="O118" s="41" t="str">
        <f>'Data In'!E124</f>
        <v>a</v>
      </c>
      <c r="P118" s="41" t="e">
        <f t="shared" si="15"/>
        <v>#VALUE!</v>
      </c>
      <c r="Q118" s="41" t="e">
        <f t="shared" si="16"/>
        <v>#DIV/0!</v>
      </c>
      <c r="R118" s="41" t="e">
        <f>IF(Table156[[#This Row],[Rising Through Threshold2]],Table156[[#This Row],[Start time2]],R117)</f>
        <v>#DIV/0!</v>
      </c>
      <c r="S118" s="41" t="e">
        <f>IF(AND(Table156[[#This Row],[Rising Through Threshold2]],R117&gt;0),R118-R117,"")</f>
        <v>#DIV/0!</v>
      </c>
      <c r="T118" s="41" t="e">
        <f>IF(Table156[[#This Row],[Voltage2]]&gt;Threshold2,1,0)</f>
        <v>#DIV/0!</v>
      </c>
      <c r="U118" s="41" t="e">
        <f>AND(Table156[[#This Row],[Last2]]&gt;0,Table156[[#This Row],[Last2]]&lt;MAX(Table156[Last2]))</f>
        <v>#DIV/0!</v>
      </c>
      <c r="V118" s="41" t="b">
        <f>OR('Data In'!B124&gt;'Data In'!B123)</f>
        <v>1</v>
      </c>
      <c r="W118" s="41">
        <f>COUNTIF($V$2:V118,"false")</f>
        <v>1</v>
      </c>
      <c r="X118" s="57"/>
    </row>
    <row r="119" spans="1:24" x14ac:dyDescent="0.45">
      <c r="A119" s="1" t="s">
        <v>137</v>
      </c>
      <c r="B119" s="1">
        <f t="shared" si="13"/>
        <v>6</v>
      </c>
      <c r="C119" s="1">
        <f t="shared" si="11"/>
        <v>12</v>
      </c>
      <c r="D119" s="1">
        <f t="shared" si="11"/>
        <v>17</v>
      </c>
      <c r="E119" s="1" t="e">
        <f t="shared" si="11"/>
        <v>#VALUE!</v>
      </c>
      <c r="F119" s="3">
        <f>IF(Table156[[#This Row],[seq]]&gt;=Table156[[#Totals],[seq]],'Data In'!B125,"")</f>
        <v>3060.72</v>
      </c>
      <c r="G119" s="4">
        <f>'Data In'!C125</f>
        <v>0.49</v>
      </c>
      <c r="H119" s="3" t="e">
        <f t="shared" si="14"/>
        <v>#VALUE!</v>
      </c>
      <c r="I119" s="1" t="b">
        <f t="shared" si="17"/>
        <v>0</v>
      </c>
      <c r="J119" s="1">
        <f>IF(Table156[[#This Row],[Rising Through Threshold]],Table156[[#This Row],[Start time]],J118)</f>
        <v>2511.36</v>
      </c>
      <c r="K119" s="1" t="str">
        <f>IF(AND(Table156[[#This Row],[Rising Through Threshold]],J118&gt;0),J119-J118,"")</f>
        <v/>
      </c>
      <c r="L119" s="1">
        <f>IF(Table156[[#This Row],[Voltage]]&gt;Threshold,1,0)</f>
        <v>0</v>
      </c>
      <c r="M119" s="1" t="b">
        <f>AND(Table156[[#This Row],[Last]]&gt;0,Table156[[#This Row],[Last]]&lt;MAX(Table156[Last]))</f>
        <v>1</v>
      </c>
      <c r="N119" s="41" t="str">
        <f>'Data In'!D125</f>
        <v>a</v>
      </c>
      <c r="O119" s="41" t="str">
        <f>'Data In'!E125</f>
        <v>a</v>
      </c>
      <c r="P119" s="41" t="e">
        <f t="shared" si="15"/>
        <v>#VALUE!</v>
      </c>
      <c r="Q119" s="41" t="e">
        <f t="shared" si="16"/>
        <v>#DIV/0!</v>
      </c>
      <c r="R119" s="41" t="e">
        <f>IF(Table156[[#This Row],[Rising Through Threshold2]],Table156[[#This Row],[Start time2]],R118)</f>
        <v>#DIV/0!</v>
      </c>
      <c r="S119" s="41" t="e">
        <f>IF(AND(Table156[[#This Row],[Rising Through Threshold2]],R118&gt;0),R119-R118,"")</f>
        <v>#DIV/0!</v>
      </c>
      <c r="T119" s="41" t="e">
        <f>IF(Table156[[#This Row],[Voltage2]]&gt;Threshold2,1,0)</f>
        <v>#DIV/0!</v>
      </c>
      <c r="U119" s="41" t="e">
        <f>AND(Table156[[#This Row],[Last2]]&gt;0,Table156[[#This Row],[Last2]]&lt;MAX(Table156[Last2]))</f>
        <v>#DIV/0!</v>
      </c>
      <c r="V119" s="41" t="b">
        <f>OR('Data In'!B125&gt;'Data In'!B124)</f>
        <v>1</v>
      </c>
      <c r="W119" s="41">
        <f>COUNTIF($V$2:V119,"false")</f>
        <v>1</v>
      </c>
      <c r="X119" s="57"/>
    </row>
    <row r="120" spans="1:24" x14ac:dyDescent="0.45">
      <c r="A120" s="1" t="s">
        <v>138</v>
      </c>
      <c r="B120" s="1">
        <f t="shared" si="13"/>
        <v>6</v>
      </c>
      <c r="C120" s="1">
        <f t="shared" si="11"/>
        <v>12</v>
      </c>
      <c r="D120" s="1">
        <f t="shared" si="11"/>
        <v>17</v>
      </c>
      <c r="E120" s="1" t="e">
        <f t="shared" si="11"/>
        <v>#VALUE!</v>
      </c>
      <c r="F120" s="3">
        <f>IF(Table156[[#This Row],[seq]]&gt;=Table156[[#Totals],[seq]],'Data In'!B126,"")</f>
        <v>3086.88</v>
      </c>
      <c r="G120" s="4">
        <f>'Data In'!C126</f>
        <v>0.56999999999999995</v>
      </c>
      <c r="H120" s="3" t="e">
        <f t="shared" si="14"/>
        <v>#VALUE!</v>
      </c>
      <c r="I120" s="1" t="b">
        <f t="shared" si="17"/>
        <v>0</v>
      </c>
      <c r="J120" s="1">
        <f>IF(Table156[[#This Row],[Rising Through Threshold]],Table156[[#This Row],[Start time]],J119)</f>
        <v>2511.36</v>
      </c>
      <c r="K120" s="1" t="str">
        <f>IF(AND(Table156[[#This Row],[Rising Through Threshold]],J119&gt;0),J120-J119,"")</f>
        <v/>
      </c>
      <c r="L120" s="1">
        <f>IF(Table156[[#This Row],[Voltage]]&gt;Threshold,1,0)</f>
        <v>0</v>
      </c>
      <c r="M120" s="1" t="b">
        <f>AND(Table156[[#This Row],[Last]]&gt;0,Table156[[#This Row],[Last]]&lt;MAX(Table156[Last]))</f>
        <v>1</v>
      </c>
      <c r="N120" s="41" t="str">
        <f>'Data In'!D126</f>
        <v>a</v>
      </c>
      <c r="O120" s="41" t="str">
        <f>'Data In'!E126</f>
        <v>a</v>
      </c>
      <c r="P120" s="41" t="e">
        <f t="shared" si="15"/>
        <v>#VALUE!</v>
      </c>
      <c r="Q120" s="41" t="e">
        <f t="shared" si="16"/>
        <v>#DIV/0!</v>
      </c>
      <c r="R120" s="41" t="e">
        <f>IF(Table156[[#This Row],[Rising Through Threshold2]],Table156[[#This Row],[Start time2]],R119)</f>
        <v>#DIV/0!</v>
      </c>
      <c r="S120" s="41" t="e">
        <f>IF(AND(Table156[[#This Row],[Rising Through Threshold2]],R119&gt;0),R120-R119,"")</f>
        <v>#DIV/0!</v>
      </c>
      <c r="T120" s="41" t="e">
        <f>IF(Table156[[#This Row],[Voltage2]]&gt;Threshold2,1,0)</f>
        <v>#DIV/0!</v>
      </c>
      <c r="U120" s="41" t="e">
        <f>AND(Table156[[#This Row],[Last2]]&gt;0,Table156[[#This Row],[Last2]]&lt;MAX(Table156[Last2]))</f>
        <v>#DIV/0!</v>
      </c>
      <c r="V120" s="41" t="b">
        <f>OR('Data In'!B126&gt;'Data In'!B125)</f>
        <v>1</v>
      </c>
      <c r="W120" s="41">
        <f>COUNTIF($V$2:V120,"false")</f>
        <v>1</v>
      </c>
      <c r="X120" s="57"/>
    </row>
    <row r="121" spans="1:24" x14ac:dyDescent="0.45">
      <c r="A121" s="1" t="s">
        <v>139</v>
      </c>
      <c r="B121" s="1">
        <f t="shared" si="13"/>
        <v>6</v>
      </c>
      <c r="C121" s="1">
        <f t="shared" si="11"/>
        <v>12</v>
      </c>
      <c r="D121" s="1">
        <f t="shared" si="11"/>
        <v>17</v>
      </c>
      <c r="E121" s="1" t="e">
        <f t="shared" si="11"/>
        <v>#VALUE!</v>
      </c>
      <c r="F121" s="3">
        <f>IF(Table156[[#This Row],[seq]]&gt;=Table156[[#Totals],[seq]],'Data In'!B127,"")</f>
        <v>3113.4</v>
      </c>
      <c r="G121" s="4">
        <f>'Data In'!C127</f>
        <v>0.75</v>
      </c>
      <c r="H121" s="3" t="e">
        <f t="shared" si="14"/>
        <v>#VALUE!</v>
      </c>
      <c r="I121" s="1" t="b">
        <f t="shared" si="17"/>
        <v>0</v>
      </c>
      <c r="J121" s="1">
        <f>IF(Table156[[#This Row],[Rising Through Threshold]],Table156[[#This Row],[Start time]],J120)</f>
        <v>2511.36</v>
      </c>
      <c r="K121" s="1" t="str">
        <f>IF(AND(Table156[[#This Row],[Rising Through Threshold]],J120&gt;0),J121-J120,"")</f>
        <v/>
      </c>
      <c r="L121" s="1">
        <f>IF(Table156[[#This Row],[Voltage]]&gt;Threshold,1,0)</f>
        <v>0</v>
      </c>
      <c r="M121" s="1" t="b">
        <f>AND(Table156[[#This Row],[Last]]&gt;0,Table156[[#This Row],[Last]]&lt;MAX(Table156[Last]))</f>
        <v>1</v>
      </c>
      <c r="N121" s="41" t="str">
        <f>'Data In'!D127</f>
        <v>a</v>
      </c>
      <c r="O121" s="41" t="str">
        <f>'Data In'!E127</f>
        <v>a</v>
      </c>
      <c r="P121" s="41" t="e">
        <f t="shared" si="15"/>
        <v>#VALUE!</v>
      </c>
      <c r="Q121" s="41" t="e">
        <f t="shared" si="16"/>
        <v>#DIV/0!</v>
      </c>
      <c r="R121" s="41" t="e">
        <f>IF(Table156[[#This Row],[Rising Through Threshold2]],Table156[[#This Row],[Start time2]],R120)</f>
        <v>#DIV/0!</v>
      </c>
      <c r="S121" s="41" t="e">
        <f>IF(AND(Table156[[#This Row],[Rising Through Threshold2]],R120&gt;0),R121-R120,"")</f>
        <v>#DIV/0!</v>
      </c>
      <c r="T121" s="41" t="e">
        <f>IF(Table156[[#This Row],[Voltage2]]&gt;Threshold2,1,0)</f>
        <v>#DIV/0!</v>
      </c>
      <c r="U121" s="41" t="e">
        <f>AND(Table156[[#This Row],[Last2]]&gt;0,Table156[[#This Row],[Last2]]&lt;MAX(Table156[Last2]))</f>
        <v>#DIV/0!</v>
      </c>
      <c r="V121" s="41" t="b">
        <f>OR('Data In'!B127&gt;'Data In'!B126)</f>
        <v>1</v>
      </c>
      <c r="W121" s="41">
        <f>COUNTIF($V$2:V121,"false")</f>
        <v>1</v>
      </c>
      <c r="X121" s="57"/>
    </row>
    <row r="122" spans="1:24" x14ac:dyDescent="0.45">
      <c r="A122" s="1" t="s">
        <v>140</v>
      </c>
      <c r="B122" s="1">
        <f t="shared" si="13"/>
        <v>6</v>
      </c>
      <c r="C122" s="1">
        <f t="shared" si="11"/>
        <v>12</v>
      </c>
      <c r="D122" s="1">
        <f t="shared" si="11"/>
        <v>17</v>
      </c>
      <c r="E122" s="1" t="e">
        <f t="shared" si="11"/>
        <v>#VALUE!</v>
      </c>
      <c r="F122" s="3">
        <f>IF(Table156[[#This Row],[seq]]&gt;=Table156[[#Totals],[seq]],'Data In'!B128,"")</f>
        <v>3139.2</v>
      </c>
      <c r="G122" s="4">
        <f>'Data In'!C128</f>
        <v>0.98</v>
      </c>
      <c r="H122" s="3" t="e">
        <f t="shared" si="14"/>
        <v>#VALUE!</v>
      </c>
      <c r="I122" s="1" t="b">
        <f t="shared" si="17"/>
        <v>0</v>
      </c>
      <c r="J122" s="1">
        <f>IF(Table156[[#This Row],[Rising Through Threshold]],Table156[[#This Row],[Start time]],J121)</f>
        <v>2511.36</v>
      </c>
      <c r="K122" s="1" t="str">
        <f>IF(AND(Table156[[#This Row],[Rising Through Threshold]],J121&gt;0),J122-J121,"")</f>
        <v/>
      </c>
      <c r="L122" s="1">
        <f>IF(Table156[[#This Row],[Voltage]]&gt;Threshold,1,0)</f>
        <v>0</v>
      </c>
      <c r="M122" s="1" t="b">
        <f>AND(Table156[[#This Row],[Last]]&gt;0,Table156[[#This Row],[Last]]&lt;MAX(Table156[Last]))</f>
        <v>1</v>
      </c>
      <c r="N122" s="41" t="str">
        <f>'Data In'!D128</f>
        <v>a</v>
      </c>
      <c r="O122" s="41" t="str">
        <f>'Data In'!E128</f>
        <v>a</v>
      </c>
      <c r="P122" s="41" t="e">
        <f t="shared" si="15"/>
        <v>#VALUE!</v>
      </c>
      <c r="Q122" s="41" t="e">
        <f t="shared" si="16"/>
        <v>#DIV/0!</v>
      </c>
      <c r="R122" s="41" t="e">
        <f>IF(Table156[[#This Row],[Rising Through Threshold2]],Table156[[#This Row],[Start time2]],R121)</f>
        <v>#DIV/0!</v>
      </c>
      <c r="S122" s="41" t="e">
        <f>IF(AND(Table156[[#This Row],[Rising Through Threshold2]],R121&gt;0),R122-R121,"")</f>
        <v>#DIV/0!</v>
      </c>
      <c r="T122" s="41" t="e">
        <f>IF(Table156[[#This Row],[Voltage2]]&gt;Threshold2,1,0)</f>
        <v>#DIV/0!</v>
      </c>
      <c r="U122" s="41" t="e">
        <f>AND(Table156[[#This Row],[Last2]]&gt;0,Table156[[#This Row],[Last2]]&lt;MAX(Table156[Last2]))</f>
        <v>#DIV/0!</v>
      </c>
      <c r="V122" s="41" t="b">
        <f>OR('Data In'!B128&gt;'Data In'!B127)</f>
        <v>1</v>
      </c>
      <c r="W122" s="41">
        <f>COUNTIF($V$2:V122,"false")</f>
        <v>1</v>
      </c>
      <c r="X122" s="57"/>
    </row>
    <row r="123" spans="1:24" x14ac:dyDescent="0.45">
      <c r="A123" s="1" t="s">
        <v>141</v>
      </c>
      <c r="B123" s="1">
        <f t="shared" si="13"/>
        <v>6</v>
      </c>
      <c r="C123" s="1">
        <f t="shared" si="11"/>
        <v>12</v>
      </c>
      <c r="D123" s="1">
        <f t="shared" si="11"/>
        <v>17</v>
      </c>
      <c r="E123" s="1" t="e">
        <f t="shared" si="11"/>
        <v>#VALUE!</v>
      </c>
      <c r="F123" s="3">
        <f>IF(Table156[[#This Row],[seq]]&gt;=Table156[[#Totals],[seq]],'Data In'!B129,"")</f>
        <v>3165.36</v>
      </c>
      <c r="G123" s="4">
        <f>'Data In'!C129</f>
        <v>1.24</v>
      </c>
      <c r="H123" s="3" t="e">
        <f t="shared" si="14"/>
        <v>#VALUE!</v>
      </c>
      <c r="I123" s="1" t="b">
        <f t="shared" si="17"/>
        <v>0</v>
      </c>
      <c r="J123" s="1">
        <f>IF(Table156[[#This Row],[Rising Through Threshold]],Table156[[#This Row],[Start time]],J122)</f>
        <v>2511.36</v>
      </c>
      <c r="K123" s="1" t="str">
        <f>IF(AND(Table156[[#This Row],[Rising Through Threshold]],J122&gt;0),J123-J122,"")</f>
        <v/>
      </c>
      <c r="L123" s="1">
        <f>IF(Table156[[#This Row],[Voltage]]&gt;Threshold,1,0)</f>
        <v>0</v>
      </c>
      <c r="M123" s="1" t="b">
        <f>AND(Table156[[#This Row],[Last]]&gt;0,Table156[[#This Row],[Last]]&lt;MAX(Table156[Last]))</f>
        <v>1</v>
      </c>
      <c r="N123" s="41" t="str">
        <f>'Data In'!D129</f>
        <v>a</v>
      </c>
      <c r="O123" s="41" t="str">
        <f>'Data In'!E129</f>
        <v>a</v>
      </c>
      <c r="P123" s="41" t="e">
        <f t="shared" si="15"/>
        <v>#VALUE!</v>
      </c>
      <c r="Q123" s="41" t="e">
        <f t="shared" si="16"/>
        <v>#DIV/0!</v>
      </c>
      <c r="R123" s="41" t="e">
        <f>IF(Table156[[#This Row],[Rising Through Threshold2]],Table156[[#This Row],[Start time2]],R122)</f>
        <v>#DIV/0!</v>
      </c>
      <c r="S123" s="41" t="e">
        <f>IF(AND(Table156[[#This Row],[Rising Through Threshold2]],R122&gt;0),R123-R122,"")</f>
        <v>#DIV/0!</v>
      </c>
      <c r="T123" s="41" t="e">
        <f>IF(Table156[[#This Row],[Voltage2]]&gt;Threshold2,1,0)</f>
        <v>#DIV/0!</v>
      </c>
      <c r="U123" s="41" t="e">
        <f>AND(Table156[[#This Row],[Last2]]&gt;0,Table156[[#This Row],[Last2]]&lt;MAX(Table156[Last2]))</f>
        <v>#DIV/0!</v>
      </c>
      <c r="V123" s="41" t="b">
        <f>OR('Data In'!B129&gt;'Data In'!B128)</f>
        <v>1</v>
      </c>
      <c r="W123" s="41">
        <f>COUNTIF($V$2:V123,"false")</f>
        <v>1</v>
      </c>
      <c r="X123" s="57"/>
    </row>
    <row r="124" spans="1:24" x14ac:dyDescent="0.45">
      <c r="A124" s="1" t="s">
        <v>142</v>
      </c>
      <c r="B124" s="1">
        <f t="shared" si="13"/>
        <v>6</v>
      </c>
      <c r="C124" s="1">
        <f t="shared" si="11"/>
        <v>12</v>
      </c>
      <c r="D124" s="1">
        <f t="shared" si="11"/>
        <v>17</v>
      </c>
      <c r="E124" s="1" t="e">
        <f t="shared" si="11"/>
        <v>#VALUE!</v>
      </c>
      <c r="F124" s="3">
        <f>IF(Table156[[#This Row],[seq]]&gt;=Table156[[#Totals],[seq]],'Data In'!B130,"")</f>
        <v>3191.52</v>
      </c>
      <c r="G124" s="4">
        <f>'Data In'!C130</f>
        <v>1.51</v>
      </c>
      <c r="H124" s="3" t="e">
        <f t="shared" si="14"/>
        <v>#VALUE!</v>
      </c>
      <c r="I124" s="1" t="b">
        <f t="shared" si="17"/>
        <v>0</v>
      </c>
      <c r="J124" s="1">
        <f>IF(Table156[[#This Row],[Rising Through Threshold]],Table156[[#This Row],[Start time]],J123)</f>
        <v>2511.36</v>
      </c>
      <c r="K124" s="1" t="str">
        <f>IF(AND(Table156[[#This Row],[Rising Through Threshold]],J123&gt;0),J124-J123,"")</f>
        <v/>
      </c>
      <c r="L124" s="1">
        <f>IF(Table156[[#This Row],[Voltage]]&gt;Threshold,1,0)</f>
        <v>0</v>
      </c>
      <c r="M124" s="1" t="b">
        <f>AND(Table156[[#This Row],[Last]]&gt;0,Table156[[#This Row],[Last]]&lt;MAX(Table156[Last]))</f>
        <v>1</v>
      </c>
      <c r="N124" s="41" t="str">
        <f>'Data In'!D130</f>
        <v>a</v>
      </c>
      <c r="O124" s="41" t="str">
        <f>'Data In'!E130</f>
        <v>a</v>
      </c>
      <c r="P124" s="41" t="e">
        <f t="shared" si="15"/>
        <v>#VALUE!</v>
      </c>
      <c r="Q124" s="41" t="e">
        <f t="shared" si="16"/>
        <v>#DIV/0!</v>
      </c>
      <c r="R124" s="41" t="e">
        <f>IF(Table156[[#This Row],[Rising Through Threshold2]],Table156[[#This Row],[Start time2]],R123)</f>
        <v>#DIV/0!</v>
      </c>
      <c r="S124" s="41" t="e">
        <f>IF(AND(Table156[[#This Row],[Rising Through Threshold2]],R123&gt;0),R124-R123,"")</f>
        <v>#DIV/0!</v>
      </c>
      <c r="T124" s="41" t="e">
        <f>IF(Table156[[#This Row],[Voltage2]]&gt;Threshold2,1,0)</f>
        <v>#DIV/0!</v>
      </c>
      <c r="U124" s="41" t="e">
        <f>AND(Table156[[#This Row],[Last2]]&gt;0,Table156[[#This Row],[Last2]]&lt;MAX(Table156[Last2]))</f>
        <v>#DIV/0!</v>
      </c>
      <c r="V124" s="41" t="b">
        <f>OR('Data In'!B130&gt;'Data In'!B129)</f>
        <v>1</v>
      </c>
      <c r="W124" s="41">
        <f>COUNTIF($V$2:V124,"false")</f>
        <v>1</v>
      </c>
      <c r="X124" s="57"/>
    </row>
    <row r="125" spans="1:24" x14ac:dyDescent="0.45">
      <c r="A125" s="1" t="s">
        <v>143</v>
      </c>
      <c r="B125" s="1">
        <f t="shared" si="13"/>
        <v>6</v>
      </c>
      <c r="C125" s="1">
        <f t="shared" si="11"/>
        <v>12</v>
      </c>
      <c r="D125" s="1">
        <f t="shared" si="11"/>
        <v>17</v>
      </c>
      <c r="E125" s="1" t="e">
        <f t="shared" si="11"/>
        <v>#VALUE!</v>
      </c>
      <c r="F125" s="3">
        <f>IF(Table156[[#This Row],[seq]]&gt;=Table156[[#Totals],[seq]],'Data In'!B131,"")</f>
        <v>3217.68</v>
      </c>
      <c r="G125" s="4">
        <f>'Data In'!C131</f>
        <v>1.76</v>
      </c>
      <c r="H125" s="3" t="e">
        <f t="shared" si="14"/>
        <v>#VALUE!</v>
      </c>
      <c r="I125" s="1" t="b">
        <f t="shared" si="17"/>
        <v>0</v>
      </c>
      <c r="J125" s="1">
        <f>IF(Table156[[#This Row],[Rising Through Threshold]],Table156[[#This Row],[Start time]],J124)</f>
        <v>2511.36</v>
      </c>
      <c r="K125" s="1" t="str">
        <f>IF(AND(Table156[[#This Row],[Rising Through Threshold]],J124&gt;0),J125-J124,"")</f>
        <v/>
      </c>
      <c r="L125" s="1">
        <f>IF(Table156[[#This Row],[Voltage]]&gt;Threshold,1,0)</f>
        <v>0</v>
      </c>
      <c r="M125" s="1" t="b">
        <f>AND(Table156[[#This Row],[Last]]&gt;0,Table156[[#This Row],[Last]]&lt;MAX(Table156[Last]))</f>
        <v>1</v>
      </c>
      <c r="N125" s="41" t="str">
        <f>'Data In'!D131</f>
        <v>a</v>
      </c>
      <c r="O125" s="41" t="str">
        <f>'Data In'!E131</f>
        <v>a</v>
      </c>
      <c r="P125" s="41" t="e">
        <f t="shared" si="15"/>
        <v>#VALUE!</v>
      </c>
      <c r="Q125" s="41" t="e">
        <f t="shared" si="16"/>
        <v>#DIV/0!</v>
      </c>
      <c r="R125" s="41" t="e">
        <f>IF(Table156[[#This Row],[Rising Through Threshold2]],Table156[[#This Row],[Start time2]],R124)</f>
        <v>#DIV/0!</v>
      </c>
      <c r="S125" s="41" t="e">
        <f>IF(AND(Table156[[#This Row],[Rising Through Threshold2]],R124&gt;0),R125-R124,"")</f>
        <v>#DIV/0!</v>
      </c>
      <c r="T125" s="41" t="e">
        <f>IF(Table156[[#This Row],[Voltage2]]&gt;Threshold2,1,0)</f>
        <v>#DIV/0!</v>
      </c>
      <c r="U125" s="41" t="e">
        <f>AND(Table156[[#This Row],[Last2]]&gt;0,Table156[[#This Row],[Last2]]&lt;MAX(Table156[Last2]))</f>
        <v>#DIV/0!</v>
      </c>
      <c r="V125" s="41" t="b">
        <f>OR('Data In'!B131&gt;'Data In'!B130)</f>
        <v>1</v>
      </c>
      <c r="W125" s="41">
        <f>COUNTIF($V$2:V125,"false")</f>
        <v>1</v>
      </c>
      <c r="X125" s="57"/>
    </row>
    <row r="126" spans="1:24" x14ac:dyDescent="0.45">
      <c r="A126" s="1" t="s">
        <v>144</v>
      </c>
      <c r="B126" s="1">
        <f t="shared" si="13"/>
        <v>6</v>
      </c>
      <c r="C126" s="1">
        <f t="shared" si="11"/>
        <v>12</v>
      </c>
      <c r="D126" s="1">
        <f t="shared" si="11"/>
        <v>17</v>
      </c>
      <c r="E126" s="1" t="e">
        <f t="shared" si="11"/>
        <v>#VALUE!</v>
      </c>
      <c r="F126" s="3">
        <f>IF(Table156[[#This Row],[seq]]&gt;=Table156[[#Totals],[seq]],'Data In'!B132,"")</f>
        <v>3243.84</v>
      </c>
      <c r="G126" s="4">
        <f>'Data In'!C132</f>
        <v>2.02</v>
      </c>
      <c r="H126" s="3" t="e">
        <f t="shared" si="14"/>
        <v>#VALUE!</v>
      </c>
      <c r="I126" s="1" t="b">
        <f t="shared" si="17"/>
        <v>0</v>
      </c>
      <c r="J126" s="1">
        <f>IF(Table156[[#This Row],[Rising Through Threshold]],Table156[[#This Row],[Start time]],J125)</f>
        <v>2511.36</v>
      </c>
      <c r="K126" s="1" t="str">
        <f>IF(AND(Table156[[#This Row],[Rising Through Threshold]],J125&gt;0),J126-J125,"")</f>
        <v/>
      </c>
      <c r="L126" s="1">
        <f>IF(Table156[[#This Row],[Voltage]]&gt;Threshold,1,0)</f>
        <v>0</v>
      </c>
      <c r="M126" s="1" t="b">
        <f>AND(Table156[[#This Row],[Last]]&gt;0,Table156[[#This Row],[Last]]&lt;MAX(Table156[Last]))</f>
        <v>1</v>
      </c>
      <c r="N126" s="41" t="str">
        <f>'Data In'!D132</f>
        <v>a</v>
      </c>
      <c r="O126" s="41" t="str">
        <f>'Data In'!E132</f>
        <v>a</v>
      </c>
      <c r="P126" s="41" t="e">
        <f t="shared" si="15"/>
        <v>#VALUE!</v>
      </c>
      <c r="Q126" s="41" t="e">
        <f t="shared" si="16"/>
        <v>#DIV/0!</v>
      </c>
      <c r="R126" s="41" t="e">
        <f>IF(Table156[[#This Row],[Rising Through Threshold2]],Table156[[#This Row],[Start time2]],R125)</f>
        <v>#DIV/0!</v>
      </c>
      <c r="S126" s="41" t="e">
        <f>IF(AND(Table156[[#This Row],[Rising Through Threshold2]],R125&gt;0),R126-R125,"")</f>
        <v>#DIV/0!</v>
      </c>
      <c r="T126" s="41" t="e">
        <f>IF(Table156[[#This Row],[Voltage2]]&gt;Threshold2,1,0)</f>
        <v>#DIV/0!</v>
      </c>
      <c r="U126" s="41" t="e">
        <f>AND(Table156[[#This Row],[Last2]]&gt;0,Table156[[#This Row],[Last2]]&lt;MAX(Table156[Last2]))</f>
        <v>#DIV/0!</v>
      </c>
      <c r="V126" s="41" t="b">
        <f>OR('Data In'!B132&gt;'Data In'!B131)</f>
        <v>1</v>
      </c>
      <c r="W126" s="41">
        <f>COUNTIF($V$2:V126,"false")</f>
        <v>1</v>
      </c>
      <c r="X126" s="57"/>
    </row>
    <row r="127" spans="1:24" x14ac:dyDescent="0.45">
      <c r="A127" s="1" t="s">
        <v>145</v>
      </c>
      <c r="B127" s="1">
        <f t="shared" si="13"/>
        <v>6</v>
      </c>
      <c r="C127" s="1">
        <f t="shared" si="11"/>
        <v>12</v>
      </c>
      <c r="D127" s="1">
        <f t="shared" si="11"/>
        <v>17</v>
      </c>
      <c r="E127" s="1" t="e">
        <f t="shared" si="11"/>
        <v>#VALUE!</v>
      </c>
      <c r="F127" s="3">
        <f>IF(Table156[[#This Row],[seq]]&gt;=Table156[[#Totals],[seq]],'Data In'!B133,"")</f>
        <v>3270</v>
      </c>
      <c r="G127" s="4">
        <f>'Data In'!C133</f>
        <v>2.25</v>
      </c>
      <c r="H127" s="3" t="e">
        <f t="shared" si="14"/>
        <v>#VALUE!</v>
      </c>
      <c r="I127" s="1" t="b">
        <f t="shared" si="17"/>
        <v>0</v>
      </c>
      <c r="J127" s="1">
        <f>IF(Table156[[#This Row],[Rising Through Threshold]],Table156[[#This Row],[Start time]],J126)</f>
        <v>2511.36</v>
      </c>
      <c r="K127" s="1" t="str">
        <f>IF(AND(Table156[[#This Row],[Rising Through Threshold]],J126&gt;0),J127-J126,"")</f>
        <v/>
      </c>
      <c r="L127" s="1">
        <f>IF(Table156[[#This Row],[Voltage]]&gt;Threshold,1,0)</f>
        <v>0</v>
      </c>
      <c r="M127" s="1" t="b">
        <f>AND(Table156[[#This Row],[Last]]&gt;0,Table156[[#This Row],[Last]]&lt;MAX(Table156[Last]))</f>
        <v>1</v>
      </c>
      <c r="N127" s="41" t="str">
        <f>'Data In'!D133</f>
        <v>a</v>
      </c>
      <c r="O127" s="41" t="str">
        <f>'Data In'!E133</f>
        <v>a</v>
      </c>
      <c r="P127" s="41" t="e">
        <f t="shared" si="15"/>
        <v>#VALUE!</v>
      </c>
      <c r="Q127" s="41" t="e">
        <f t="shared" si="16"/>
        <v>#DIV/0!</v>
      </c>
      <c r="R127" s="41" t="e">
        <f>IF(Table156[[#This Row],[Rising Through Threshold2]],Table156[[#This Row],[Start time2]],R126)</f>
        <v>#DIV/0!</v>
      </c>
      <c r="S127" s="41" t="e">
        <f>IF(AND(Table156[[#This Row],[Rising Through Threshold2]],R126&gt;0),R127-R126,"")</f>
        <v>#DIV/0!</v>
      </c>
      <c r="T127" s="41" t="e">
        <f>IF(Table156[[#This Row],[Voltage2]]&gt;Threshold2,1,0)</f>
        <v>#DIV/0!</v>
      </c>
      <c r="U127" s="41" t="e">
        <f>AND(Table156[[#This Row],[Last2]]&gt;0,Table156[[#This Row],[Last2]]&lt;MAX(Table156[Last2]))</f>
        <v>#DIV/0!</v>
      </c>
      <c r="V127" s="41" t="b">
        <f>OR('Data In'!B133&gt;'Data In'!B132)</f>
        <v>1</v>
      </c>
      <c r="W127" s="41">
        <f>COUNTIF($V$2:V127,"false")</f>
        <v>1</v>
      </c>
      <c r="X127" s="57"/>
    </row>
    <row r="128" spans="1:24" x14ac:dyDescent="0.45">
      <c r="A128" s="1" t="s">
        <v>146</v>
      </c>
      <c r="B128" s="1">
        <f t="shared" si="13"/>
        <v>6</v>
      </c>
      <c r="C128" s="1">
        <f t="shared" ref="C128:E191" si="18">FIND(":",$A128,B128+1)</f>
        <v>12</v>
      </c>
      <c r="D128" s="1">
        <f t="shared" si="18"/>
        <v>17</v>
      </c>
      <c r="E128" s="1" t="e">
        <f t="shared" si="18"/>
        <v>#VALUE!</v>
      </c>
      <c r="F128" s="3">
        <f>IF(Table156[[#This Row],[seq]]&gt;=Table156[[#Totals],[seq]],'Data In'!B134,"")</f>
        <v>3296.16</v>
      </c>
      <c r="G128" s="4">
        <f>'Data In'!C134</f>
        <v>2.4700000000000002</v>
      </c>
      <c r="H128" s="3" t="e">
        <f t="shared" si="14"/>
        <v>#VALUE!</v>
      </c>
      <c r="I128" s="1" t="b">
        <f t="shared" si="17"/>
        <v>1</v>
      </c>
      <c r="J128" s="1">
        <f>IF(Table156[[#This Row],[Rising Through Threshold]],Table156[[#This Row],[Start time]],J127)</f>
        <v>3296.16</v>
      </c>
      <c r="K128" s="1">
        <f>IF(AND(Table156[[#This Row],[Rising Through Threshold]],J127&gt;0),J128-J127,"")</f>
        <v>784.79999999999973</v>
      </c>
      <c r="L128" s="1">
        <f>IF(Table156[[#This Row],[Voltage]]&gt;Threshold,1,0)</f>
        <v>1</v>
      </c>
      <c r="M128" s="1" t="b">
        <f>AND(Table156[[#This Row],[Last]]&gt;0,Table156[[#This Row],[Last]]&lt;MAX(Table156[Last]))</f>
        <v>1</v>
      </c>
      <c r="N128" s="41" t="str">
        <f>'Data In'!D134</f>
        <v>a</v>
      </c>
      <c r="O128" s="41" t="str">
        <f>'Data In'!E134</f>
        <v>a</v>
      </c>
      <c r="P128" s="41">
        <f t="shared" si="15"/>
        <v>0</v>
      </c>
      <c r="Q128" s="41" t="e">
        <f t="shared" si="16"/>
        <v>#DIV/0!</v>
      </c>
      <c r="R128" s="41" t="e">
        <f>IF(Table156[[#This Row],[Rising Through Threshold2]],Table156[[#This Row],[Start time2]],R127)</f>
        <v>#DIV/0!</v>
      </c>
      <c r="S128" s="41" t="e">
        <f>IF(AND(Table156[[#This Row],[Rising Through Threshold2]],R127&gt;0),R128-R127,"")</f>
        <v>#DIV/0!</v>
      </c>
      <c r="T128" s="41" t="e">
        <f>IF(Table156[[#This Row],[Voltage2]]&gt;Threshold2,1,0)</f>
        <v>#DIV/0!</v>
      </c>
      <c r="U128" s="41" t="e">
        <f>AND(Table156[[#This Row],[Last2]]&gt;0,Table156[[#This Row],[Last2]]&lt;MAX(Table156[Last2]))</f>
        <v>#DIV/0!</v>
      </c>
      <c r="V128" s="41" t="b">
        <f>OR('Data In'!B134&gt;'Data In'!B133)</f>
        <v>1</v>
      </c>
      <c r="W128" s="41">
        <f>COUNTIF($V$2:V128,"false")</f>
        <v>1</v>
      </c>
      <c r="X128" s="57"/>
    </row>
    <row r="129" spans="1:24" x14ac:dyDescent="0.45">
      <c r="A129" s="1" t="s">
        <v>147</v>
      </c>
      <c r="B129" s="1">
        <f t="shared" si="13"/>
        <v>6</v>
      </c>
      <c r="C129" s="1">
        <f t="shared" si="18"/>
        <v>12</v>
      </c>
      <c r="D129" s="1">
        <f t="shared" si="18"/>
        <v>17</v>
      </c>
      <c r="E129" s="1" t="e">
        <f t="shared" si="18"/>
        <v>#VALUE!</v>
      </c>
      <c r="F129" s="3">
        <f>IF(Table156[[#This Row],[seq]]&gt;=Table156[[#Totals],[seq]],'Data In'!B135,"")</f>
        <v>3322.32</v>
      </c>
      <c r="G129" s="4">
        <f>'Data In'!C135</f>
        <v>2.67</v>
      </c>
      <c r="H129" s="3" t="e">
        <f t="shared" si="14"/>
        <v>#VALUE!</v>
      </c>
      <c r="I129" s="1" t="b">
        <f t="shared" si="17"/>
        <v>0</v>
      </c>
      <c r="J129" s="1">
        <f>IF(Table156[[#This Row],[Rising Through Threshold]],Table156[[#This Row],[Start time]],J128)</f>
        <v>3296.16</v>
      </c>
      <c r="K129" s="1" t="str">
        <f>IF(AND(Table156[[#This Row],[Rising Through Threshold]],J128&gt;0),J129-J128,"")</f>
        <v/>
      </c>
      <c r="L129" s="1">
        <f>IF(Table156[[#This Row],[Voltage]]&gt;Threshold,1,0)</f>
        <v>1</v>
      </c>
      <c r="M129" s="1" t="b">
        <f>AND(Table156[[#This Row],[Last]]&gt;0,Table156[[#This Row],[Last]]&lt;MAX(Table156[Last]))</f>
        <v>1</v>
      </c>
      <c r="N129" s="41" t="str">
        <f>'Data In'!D135</f>
        <v>a</v>
      </c>
      <c r="O129" s="41" t="str">
        <f>'Data In'!E135</f>
        <v>a</v>
      </c>
      <c r="P129" s="41" t="e">
        <f t="shared" si="15"/>
        <v>#VALUE!</v>
      </c>
      <c r="Q129" s="41" t="e">
        <f t="shared" si="16"/>
        <v>#DIV/0!</v>
      </c>
      <c r="R129" s="41" t="e">
        <f>IF(Table156[[#This Row],[Rising Through Threshold2]],Table156[[#This Row],[Start time2]],R128)</f>
        <v>#DIV/0!</v>
      </c>
      <c r="S129" s="41" t="e">
        <f>IF(AND(Table156[[#This Row],[Rising Through Threshold2]],R128&gt;0),R129-R128,"")</f>
        <v>#DIV/0!</v>
      </c>
      <c r="T129" s="41" t="e">
        <f>IF(Table156[[#This Row],[Voltage2]]&gt;Threshold2,1,0)</f>
        <v>#DIV/0!</v>
      </c>
      <c r="U129" s="41" t="e">
        <f>AND(Table156[[#This Row],[Last2]]&gt;0,Table156[[#This Row],[Last2]]&lt;MAX(Table156[Last2]))</f>
        <v>#DIV/0!</v>
      </c>
      <c r="V129" s="41" t="b">
        <f>OR('Data In'!B135&gt;'Data In'!B134)</f>
        <v>1</v>
      </c>
      <c r="W129" s="41">
        <f>COUNTIF($V$2:V129,"false")</f>
        <v>1</v>
      </c>
      <c r="X129" s="57"/>
    </row>
    <row r="130" spans="1:24" x14ac:dyDescent="0.45">
      <c r="A130" s="1" t="s">
        <v>148</v>
      </c>
      <c r="B130" s="1">
        <f t="shared" si="13"/>
        <v>6</v>
      </c>
      <c r="C130" s="1">
        <f t="shared" si="18"/>
        <v>12</v>
      </c>
      <c r="D130" s="1">
        <f t="shared" si="18"/>
        <v>17</v>
      </c>
      <c r="E130" s="1" t="e">
        <f t="shared" si="18"/>
        <v>#VALUE!</v>
      </c>
      <c r="F130" s="3">
        <f>IF(Table156[[#This Row],[seq]]&gt;=Table156[[#Totals],[seq]],'Data In'!B136,"")</f>
        <v>3348.48</v>
      </c>
      <c r="G130" s="4">
        <f>'Data In'!C136</f>
        <v>2.84</v>
      </c>
      <c r="H130" s="3" t="e">
        <f t="shared" si="14"/>
        <v>#VALUE!</v>
      </c>
      <c r="I130" s="1" t="b">
        <f t="shared" si="17"/>
        <v>0</v>
      </c>
      <c r="J130" s="1">
        <f>IF(Table156[[#This Row],[Rising Through Threshold]],Table156[[#This Row],[Start time]],J129)</f>
        <v>3296.16</v>
      </c>
      <c r="K130" s="1" t="str">
        <f>IF(AND(Table156[[#This Row],[Rising Through Threshold]],J129&gt;0),J130-J129,"")</f>
        <v/>
      </c>
      <c r="L130" s="1">
        <f>IF(Table156[[#This Row],[Voltage]]&gt;Threshold,1,0)</f>
        <v>1</v>
      </c>
      <c r="M130" s="1" t="b">
        <f>AND(Table156[[#This Row],[Last]]&gt;0,Table156[[#This Row],[Last]]&lt;MAX(Table156[Last]))</f>
        <v>1</v>
      </c>
      <c r="N130" s="41" t="str">
        <f>'Data In'!D136</f>
        <v>a</v>
      </c>
      <c r="O130" s="41" t="str">
        <f>'Data In'!E136</f>
        <v>a</v>
      </c>
      <c r="P130" s="41" t="e">
        <f t="shared" si="15"/>
        <v>#VALUE!</v>
      </c>
      <c r="Q130" s="41" t="e">
        <f t="shared" ref="Q130:Q161" si="19">AND(O129&lt;Threshold2,O130&gt;Threshold2)</f>
        <v>#DIV/0!</v>
      </c>
      <c r="R130" s="41" t="e">
        <f>IF(Table156[[#This Row],[Rising Through Threshold2]],Table156[[#This Row],[Start time2]],R129)</f>
        <v>#DIV/0!</v>
      </c>
      <c r="S130" s="41" t="e">
        <f>IF(AND(Table156[[#This Row],[Rising Through Threshold2]],R129&gt;0),R130-R129,"")</f>
        <v>#DIV/0!</v>
      </c>
      <c r="T130" s="41" t="e">
        <f>IF(Table156[[#This Row],[Voltage2]]&gt;Threshold2,1,0)</f>
        <v>#DIV/0!</v>
      </c>
      <c r="U130" s="41" t="e">
        <f>AND(Table156[[#This Row],[Last2]]&gt;0,Table156[[#This Row],[Last2]]&lt;MAX(Table156[Last2]))</f>
        <v>#DIV/0!</v>
      </c>
      <c r="V130" s="41" t="b">
        <f>OR('Data In'!B136&gt;'Data In'!B135)</f>
        <v>1</v>
      </c>
      <c r="W130" s="41">
        <f>COUNTIF($V$2:V130,"false")</f>
        <v>1</v>
      </c>
      <c r="X130" s="57"/>
    </row>
    <row r="131" spans="1:24" x14ac:dyDescent="0.45">
      <c r="A131" s="1" t="s">
        <v>149</v>
      </c>
      <c r="B131" s="1">
        <f t="shared" ref="B131:B194" si="20">FIND(":",$A131,1)</f>
        <v>6</v>
      </c>
      <c r="C131" s="1">
        <f t="shared" si="18"/>
        <v>12</v>
      </c>
      <c r="D131" s="1">
        <f t="shared" si="18"/>
        <v>17</v>
      </c>
      <c r="E131" s="1" t="e">
        <f t="shared" si="18"/>
        <v>#VALUE!</v>
      </c>
      <c r="F131" s="3">
        <f>IF(Table156[[#This Row],[seq]]&gt;=Table156[[#Totals],[seq]],'Data In'!B137,"")</f>
        <v>3374.64</v>
      </c>
      <c r="G131" s="4">
        <f>'Data In'!C137</f>
        <v>3</v>
      </c>
      <c r="H131" s="3" t="e">
        <f t="shared" ref="H131:H194" si="21">_xlfn.NUMBERVALUE(MID($A131,E131+1,1000))</f>
        <v>#VALUE!</v>
      </c>
      <c r="I131" s="1" t="b">
        <f t="shared" si="17"/>
        <v>0</v>
      </c>
      <c r="J131" s="1">
        <f>IF(Table156[[#This Row],[Rising Through Threshold]],Table156[[#This Row],[Start time]],J130)</f>
        <v>3296.16</v>
      </c>
      <c r="K131" s="1" t="str">
        <f>IF(AND(Table156[[#This Row],[Rising Through Threshold]],J130&gt;0),J131-J130,"")</f>
        <v/>
      </c>
      <c r="L131" s="1">
        <f>IF(Table156[[#This Row],[Voltage]]&gt;Threshold,1,0)</f>
        <v>1</v>
      </c>
      <c r="M131" s="1" t="b">
        <f>AND(Table156[[#This Row],[Last]]&gt;0,Table156[[#This Row],[Last]]&lt;MAX(Table156[Last]))</f>
        <v>1</v>
      </c>
      <c r="N131" s="41" t="str">
        <f>'Data In'!D137</f>
        <v>a</v>
      </c>
      <c r="O131" s="41" t="str">
        <f>'Data In'!E137</f>
        <v>a</v>
      </c>
      <c r="P131" s="41" t="e">
        <f t="shared" ref="P131:P194" si="22">_xlfn.NUMBERVALUE(MID($A131,K131+1,1000))</f>
        <v>#VALUE!</v>
      </c>
      <c r="Q131" s="41" t="e">
        <f t="shared" si="19"/>
        <v>#DIV/0!</v>
      </c>
      <c r="R131" s="41" t="e">
        <f>IF(Table156[[#This Row],[Rising Through Threshold2]],Table156[[#This Row],[Start time2]],R130)</f>
        <v>#DIV/0!</v>
      </c>
      <c r="S131" s="41" t="e">
        <f>IF(AND(Table156[[#This Row],[Rising Through Threshold2]],R130&gt;0),R131-R130,"")</f>
        <v>#DIV/0!</v>
      </c>
      <c r="T131" s="41" t="e">
        <f>IF(Table156[[#This Row],[Voltage2]]&gt;Threshold2,1,0)</f>
        <v>#DIV/0!</v>
      </c>
      <c r="U131" s="41" t="e">
        <f>AND(Table156[[#This Row],[Last2]]&gt;0,Table156[[#This Row],[Last2]]&lt;MAX(Table156[Last2]))</f>
        <v>#DIV/0!</v>
      </c>
      <c r="V131" s="41" t="b">
        <f>OR('Data In'!B137&gt;'Data In'!B136)</f>
        <v>1</v>
      </c>
      <c r="W131" s="41">
        <f>COUNTIF($V$2:V131,"false")</f>
        <v>1</v>
      </c>
      <c r="X131" s="57"/>
    </row>
    <row r="132" spans="1:24" x14ac:dyDescent="0.45">
      <c r="A132" s="1" t="s">
        <v>150</v>
      </c>
      <c r="B132" s="1">
        <f t="shared" si="20"/>
        <v>6</v>
      </c>
      <c r="C132" s="1">
        <f t="shared" si="18"/>
        <v>12</v>
      </c>
      <c r="D132" s="1">
        <f t="shared" si="18"/>
        <v>17</v>
      </c>
      <c r="E132" s="1" t="e">
        <f t="shared" si="18"/>
        <v>#VALUE!</v>
      </c>
      <c r="F132" s="3">
        <f>IF(Table156[[#This Row],[seq]]&gt;=Table156[[#Totals],[seq]],'Data In'!B138,"")</f>
        <v>3400.8</v>
      </c>
      <c r="G132" s="4">
        <f>'Data In'!C138</f>
        <v>3.16</v>
      </c>
      <c r="H132" s="3" t="e">
        <f t="shared" si="21"/>
        <v>#VALUE!</v>
      </c>
      <c r="I132" s="1" t="b">
        <f t="shared" si="17"/>
        <v>0</v>
      </c>
      <c r="J132" s="1">
        <f>IF(Table156[[#This Row],[Rising Through Threshold]],Table156[[#This Row],[Start time]],J131)</f>
        <v>3296.16</v>
      </c>
      <c r="K132" s="1" t="str">
        <f>IF(AND(Table156[[#This Row],[Rising Through Threshold]],J131&gt;0),J132-J131,"")</f>
        <v/>
      </c>
      <c r="L132" s="1">
        <f>IF(Table156[[#This Row],[Voltage]]&gt;Threshold,1,0)</f>
        <v>1</v>
      </c>
      <c r="M132" s="1" t="b">
        <f>AND(Table156[[#This Row],[Last]]&gt;0,Table156[[#This Row],[Last]]&lt;MAX(Table156[Last]))</f>
        <v>1</v>
      </c>
      <c r="N132" s="41" t="str">
        <f>'Data In'!D138</f>
        <v>a</v>
      </c>
      <c r="O132" s="41" t="str">
        <f>'Data In'!E138</f>
        <v>a</v>
      </c>
      <c r="P132" s="41" t="e">
        <f t="shared" si="22"/>
        <v>#VALUE!</v>
      </c>
      <c r="Q132" s="41" t="e">
        <f t="shared" si="19"/>
        <v>#DIV/0!</v>
      </c>
      <c r="R132" s="41" t="e">
        <f>IF(Table156[[#This Row],[Rising Through Threshold2]],Table156[[#This Row],[Start time2]],R131)</f>
        <v>#DIV/0!</v>
      </c>
      <c r="S132" s="41" t="e">
        <f>IF(AND(Table156[[#This Row],[Rising Through Threshold2]],R131&gt;0),R132-R131,"")</f>
        <v>#DIV/0!</v>
      </c>
      <c r="T132" s="41" t="e">
        <f>IF(Table156[[#This Row],[Voltage2]]&gt;Threshold2,1,0)</f>
        <v>#DIV/0!</v>
      </c>
      <c r="U132" s="41" t="e">
        <f>AND(Table156[[#This Row],[Last2]]&gt;0,Table156[[#This Row],[Last2]]&lt;MAX(Table156[Last2]))</f>
        <v>#DIV/0!</v>
      </c>
      <c r="V132" s="41" t="b">
        <f>OR('Data In'!B138&gt;'Data In'!B137)</f>
        <v>1</v>
      </c>
      <c r="W132" s="41">
        <f>COUNTIF($V$2:V132,"false")</f>
        <v>1</v>
      </c>
      <c r="X132" s="57"/>
    </row>
    <row r="133" spans="1:24" x14ac:dyDescent="0.45">
      <c r="A133" s="1" t="s">
        <v>151</v>
      </c>
      <c r="B133" s="1">
        <f t="shared" si="20"/>
        <v>6</v>
      </c>
      <c r="C133" s="1">
        <f t="shared" si="18"/>
        <v>12</v>
      </c>
      <c r="D133" s="1">
        <f t="shared" si="18"/>
        <v>17</v>
      </c>
      <c r="E133" s="1" t="e">
        <f t="shared" si="18"/>
        <v>#VALUE!</v>
      </c>
      <c r="F133" s="3">
        <f>IF(Table156[[#This Row],[seq]]&gt;=Table156[[#Totals],[seq]],'Data In'!B139,"")</f>
        <v>3426.96</v>
      </c>
      <c r="G133" s="4">
        <f>'Data In'!C139</f>
        <v>3.27</v>
      </c>
      <c r="H133" s="3" t="e">
        <f t="shared" si="21"/>
        <v>#VALUE!</v>
      </c>
      <c r="I133" s="1" t="b">
        <f t="shared" si="17"/>
        <v>0</v>
      </c>
      <c r="J133" s="1">
        <f>IF(Table156[[#This Row],[Rising Through Threshold]],Table156[[#This Row],[Start time]],J132)</f>
        <v>3296.16</v>
      </c>
      <c r="K133" s="1" t="str">
        <f>IF(AND(Table156[[#This Row],[Rising Through Threshold]],J132&gt;0),J133-J132,"")</f>
        <v/>
      </c>
      <c r="L133" s="1">
        <f>IF(Table156[[#This Row],[Voltage]]&gt;Threshold,1,0)</f>
        <v>1</v>
      </c>
      <c r="M133" s="1" t="b">
        <f>AND(Table156[[#This Row],[Last]]&gt;0,Table156[[#This Row],[Last]]&lt;MAX(Table156[Last]))</f>
        <v>1</v>
      </c>
      <c r="N133" s="41" t="str">
        <f>'Data In'!D139</f>
        <v>a</v>
      </c>
      <c r="O133" s="41" t="str">
        <f>'Data In'!E139</f>
        <v>a</v>
      </c>
      <c r="P133" s="41" t="e">
        <f t="shared" si="22"/>
        <v>#VALUE!</v>
      </c>
      <c r="Q133" s="41" t="e">
        <f t="shared" si="19"/>
        <v>#DIV/0!</v>
      </c>
      <c r="R133" s="41" t="e">
        <f>IF(Table156[[#This Row],[Rising Through Threshold2]],Table156[[#This Row],[Start time2]],R132)</f>
        <v>#DIV/0!</v>
      </c>
      <c r="S133" s="41" t="e">
        <f>IF(AND(Table156[[#This Row],[Rising Through Threshold2]],R132&gt;0),R133-R132,"")</f>
        <v>#DIV/0!</v>
      </c>
      <c r="T133" s="41" t="e">
        <f>IF(Table156[[#This Row],[Voltage2]]&gt;Threshold2,1,0)</f>
        <v>#DIV/0!</v>
      </c>
      <c r="U133" s="41" t="e">
        <f>AND(Table156[[#This Row],[Last2]]&gt;0,Table156[[#This Row],[Last2]]&lt;MAX(Table156[Last2]))</f>
        <v>#DIV/0!</v>
      </c>
      <c r="V133" s="41" t="b">
        <f>OR('Data In'!B139&gt;'Data In'!B138)</f>
        <v>1</v>
      </c>
      <c r="W133" s="41">
        <f>COUNTIF($V$2:V133,"false")</f>
        <v>1</v>
      </c>
      <c r="X133" s="57"/>
    </row>
    <row r="134" spans="1:24" x14ac:dyDescent="0.45">
      <c r="A134" s="1" t="s">
        <v>152</v>
      </c>
      <c r="B134" s="1">
        <f t="shared" si="20"/>
        <v>6</v>
      </c>
      <c r="C134" s="1">
        <f t="shared" si="18"/>
        <v>12</v>
      </c>
      <c r="D134" s="1">
        <f t="shared" si="18"/>
        <v>17</v>
      </c>
      <c r="E134" s="1" t="e">
        <f t="shared" si="18"/>
        <v>#VALUE!</v>
      </c>
      <c r="F134" s="3">
        <f>IF(Table156[[#This Row],[seq]]&gt;=Table156[[#Totals],[seq]],'Data In'!B140,"")</f>
        <v>3453.12</v>
      </c>
      <c r="G134" s="4">
        <f>'Data In'!C140</f>
        <v>3.41</v>
      </c>
      <c r="H134" s="3" t="e">
        <f t="shared" si="21"/>
        <v>#VALUE!</v>
      </c>
      <c r="I134" s="1" t="b">
        <f t="shared" si="17"/>
        <v>0</v>
      </c>
      <c r="J134" s="1">
        <f>IF(Table156[[#This Row],[Rising Through Threshold]],Table156[[#This Row],[Start time]],J133)</f>
        <v>3296.16</v>
      </c>
      <c r="K134" s="1" t="str">
        <f>IF(AND(Table156[[#This Row],[Rising Through Threshold]],J133&gt;0),J134-J133,"")</f>
        <v/>
      </c>
      <c r="L134" s="1">
        <f>IF(Table156[[#This Row],[Voltage]]&gt;Threshold,1,0)</f>
        <v>1</v>
      </c>
      <c r="M134" s="1" t="b">
        <f>AND(Table156[[#This Row],[Last]]&gt;0,Table156[[#This Row],[Last]]&lt;MAX(Table156[Last]))</f>
        <v>1</v>
      </c>
      <c r="N134" s="41" t="str">
        <f>'Data In'!D140</f>
        <v>a</v>
      </c>
      <c r="O134" s="41" t="str">
        <f>'Data In'!E140</f>
        <v>a</v>
      </c>
      <c r="P134" s="41" t="e">
        <f t="shared" si="22"/>
        <v>#VALUE!</v>
      </c>
      <c r="Q134" s="41" t="e">
        <f t="shared" si="19"/>
        <v>#DIV/0!</v>
      </c>
      <c r="R134" s="41" t="e">
        <f>IF(Table156[[#This Row],[Rising Through Threshold2]],Table156[[#This Row],[Start time2]],R133)</f>
        <v>#DIV/0!</v>
      </c>
      <c r="S134" s="41" t="e">
        <f>IF(AND(Table156[[#This Row],[Rising Through Threshold2]],R133&gt;0),R134-R133,"")</f>
        <v>#DIV/0!</v>
      </c>
      <c r="T134" s="41" t="e">
        <f>IF(Table156[[#This Row],[Voltage2]]&gt;Threshold2,1,0)</f>
        <v>#DIV/0!</v>
      </c>
      <c r="U134" s="41" t="e">
        <f>AND(Table156[[#This Row],[Last2]]&gt;0,Table156[[#This Row],[Last2]]&lt;MAX(Table156[Last2]))</f>
        <v>#DIV/0!</v>
      </c>
      <c r="V134" s="41" t="b">
        <f>OR('Data In'!B140&gt;'Data In'!B139)</f>
        <v>1</v>
      </c>
      <c r="W134" s="41">
        <f>COUNTIF($V$2:V134,"false")</f>
        <v>1</v>
      </c>
      <c r="X134" s="57"/>
    </row>
    <row r="135" spans="1:24" x14ac:dyDescent="0.45">
      <c r="A135" s="1" t="s">
        <v>153</v>
      </c>
      <c r="B135" s="1">
        <f t="shared" si="20"/>
        <v>6</v>
      </c>
      <c r="C135" s="1">
        <f t="shared" si="18"/>
        <v>12</v>
      </c>
      <c r="D135" s="1">
        <f t="shared" si="18"/>
        <v>17</v>
      </c>
      <c r="E135" s="1" t="e">
        <f t="shared" si="18"/>
        <v>#VALUE!</v>
      </c>
      <c r="F135" s="3">
        <f>IF(Table156[[#This Row],[seq]]&gt;=Table156[[#Totals],[seq]],'Data In'!B141,"")</f>
        <v>3479.28</v>
      </c>
      <c r="G135" s="4">
        <f>'Data In'!C141</f>
        <v>3.51</v>
      </c>
      <c r="H135" s="3" t="e">
        <f t="shared" si="21"/>
        <v>#VALUE!</v>
      </c>
      <c r="I135" s="1" t="b">
        <f t="shared" si="17"/>
        <v>0</v>
      </c>
      <c r="J135" s="1">
        <f>IF(Table156[[#This Row],[Rising Through Threshold]],Table156[[#This Row],[Start time]],J134)</f>
        <v>3296.16</v>
      </c>
      <c r="K135" s="1" t="str">
        <f>IF(AND(Table156[[#This Row],[Rising Through Threshold]],J134&gt;0),J135-J134,"")</f>
        <v/>
      </c>
      <c r="L135" s="1">
        <f>IF(Table156[[#This Row],[Voltage]]&gt;Threshold,1,0)</f>
        <v>1</v>
      </c>
      <c r="M135" s="1" t="b">
        <f>AND(Table156[[#This Row],[Last]]&gt;0,Table156[[#This Row],[Last]]&lt;MAX(Table156[Last]))</f>
        <v>1</v>
      </c>
      <c r="N135" s="41" t="str">
        <f>'Data In'!D141</f>
        <v>a</v>
      </c>
      <c r="O135" s="41" t="str">
        <f>'Data In'!E141</f>
        <v>a</v>
      </c>
      <c r="P135" s="41" t="e">
        <f t="shared" si="22"/>
        <v>#VALUE!</v>
      </c>
      <c r="Q135" s="41" t="e">
        <f t="shared" si="19"/>
        <v>#DIV/0!</v>
      </c>
      <c r="R135" s="41" t="e">
        <f>IF(Table156[[#This Row],[Rising Through Threshold2]],Table156[[#This Row],[Start time2]],R134)</f>
        <v>#DIV/0!</v>
      </c>
      <c r="S135" s="41" t="e">
        <f>IF(AND(Table156[[#This Row],[Rising Through Threshold2]],R134&gt;0),R135-R134,"")</f>
        <v>#DIV/0!</v>
      </c>
      <c r="T135" s="41" t="e">
        <f>IF(Table156[[#This Row],[Voltage2]]&gt;Threshold2,1,0)</f>
        <v>#DIV/0!</v>
      </c>
      <c r="U135" s="41" t="e">
        <f>AND(Table156[[#This Row],[Last2]]&gt;0,Table156[[#This Row],[Last2]]&lt;MAX(Table156[Last2]))</f>
        <v>#DIV/0!</v>
      </c>
      <c r="V135" s="41" t="b">
        <f>OR('Data In'!B141&gt;'Data In'!B140)</f>
        <v>1</v>
      </c>
      <c r="W135" s="41">
        <f>COUNTIF($V$2:V135,"false")</f>
        <v>1</v>
      </c>
      <c r="X135" s="57"/>
    </row>
    <row r="136" spans="1:24" x14ac:dyDescent="0.45">
      <c r="A136" s="1" t="s">
        <v>154</v>
      </c>
      <c r="B136" s="1">
        <f t="shared" si="20"/>
        <v>6</v>
      </c>
      <c r="C136" s="1">
        <f t="shared" si="18"/>
        <v>12</v>
      </c>
      <c r="D136" s="1">
        <f t="shared" si="18"/>
        <v>17</v>
      </c>
      <c r="E136" s="1" t="e">
        <f t="shared" si="18"/>
        <v>#VALUE!</v>
      </c>
      <c r="F136" s="3">
        <f>IF(Table156[[#This Row],[seq]]&gt;=Table156[[#Totals],[seq]],'Data In'!B142,"")</f>
        <v>3505.44</v>
      </c>
      <c r="G136" s="4">
        <f>'Data In'!C142</f>
        <v>3.61</v>
      </c>
      <c r="H136" s="3" t="e">
        <f t="shared" si="21"/>
        <v>#VALUE!</v>
      </c>
      <c r="I136" s="1" t="b">
        <f t="shared" si="17"/>
        <v>0</v>
      </c>
      <c r="J136" s="1">
        <f>IF(Table156[[#This Row],[Rising Through Threshold]],Table156[[#This Row],[Start time]],J135)</f>
        <v>3296.16</v>
      </c>
      <c r="K136" s="1" t="str">
        <f>IF(AND(Table156[[#This Row],[Rising Through Threshold]],J135&gt;0),J136-J135,"")</f>
        <v/>
      </c>
      <c r="L136" s="1">
        <f>IF(Table156[[#This Row],[Voltage]]&gt;Threshold,1,0)</f>
        <v>1</v>
      </c>
      <c r="M136" s="1" t="b">
        <f>AND(Table156[[#This Row],[Last]]&gt;0,Table156[[#This Row],[Last]]&lt;MAX(Table156[Last]))</f>
        <v>1</v>
      </c>
      <c r="N136" s="41" t="str">
        <f>'Data In'!D142</f>
        <v>a</v>
      </c>
      <c r="O136" s="41" t="str">
        <f>'Data In'!E142</f>
        <v>a</v>
      </c>
      <c r="P136" s="41" t="e">
        <f t="shared" si="22"/>
        <v>#VALUE!</v>
      </c>
      <c r="Q136" s="41" t="e">
        <f t="shared" si="19"/>
        <v>#DIV/0!</v>
      </c>
      <c r="R136" s="41" t="e">
        <f>IF(Table156[[#This Row],[Rising Through Threshold2]],Table156[[#This Row],[Start time2]],R135)</f>
        <v>#DIV/0!</v>
      </c>
      <c r="S136" s="41" t="e">
        <f>IF(AND(Table156[[#This Row],[Rising Through Threshold2]],R135&gt;0),R136-R135,"")</f>
        <v>#DIV/0!</v>
      </c>
      <c r="T136" s="41" t="e">
        <f>IF(Table156[[#This Row],[Voltage2]]&gt;Threshold2,1,0)</f>
        <v>#DIV/0!</v>
      </c>
      <c r="U136" s="41" t="e">
        <f>AND(Table156[[#This Row],[Last2]]&gt;0,Table156[[#This Row],[Last2]]&lt;MAX(Table156[Last2]))</f>
        <v>#DIV/0!</v>
      </c>
      <c r="V136" s="41" t="b">
        <f>OR('Data In'!B142&gt;'Data In'!B141)</f>
        <v>1</v>
      </c>
      <c r="W136" s="41">
        <f>COUNTIF($V$2:V136,"false")</f>
        <v>1</v>
      </c>
      <c r="X136" s="57"/>
    </row>
    <row r="137" spans="1:24" x14ac:dyDescent="0.45">
      <c r="A137" s="1" t="s">
        <v>155</v>
      </c>
      <c r="B137" s="1">
        <f t="shared" si="20"/>
        <v>6</v>
      </c>
      <c r="C137" s="1">
        <f t="shared" si="18"/>
        <v>12</v>
      </c>
      <c r="D137" s="1">
        <f t="shared" si="18"/>
        <v>17</v>
      </c>
      <c r="E137" s="1" t="e">
        <f t="shared" si="18"/>
        <v>#VALUE!</v>
      </c>
      <c r="F137" s="3">
        <f>IF(Table156[[#This Row],[seq]]&gt;=Table156[[#Totals],[seq]],'Data In'!B143,"")</f>
        <v>3531.6</v>
      </c>
      <c r="G137" s="4">
        <f>'Data In'!C143</f>
        <v>3.67</v>
      </c>
      <c r="H137" s="3" t="e">
        <f t="shared" si="21"/>
        <v>#VALUE!</v>
      </c>
      <c r="I137" s="1" t="b">
        <f t="shared" si="17"/>
        <v>0</v>
      </c>
      <c r="J137" s="1">
        <f>IF(Table156[[#This Row],[Rising Through Threshold]],Table156[[#This Row],[Start time]],J136)</f>
        <v>3296.16</v>
      </c>
      <c r="K137" s="1" t="str">
        <f>IF(AND(Table156[[#This Row],[Rising Through Threshold]],J136&gt;0),J137-J136,"")</f>
        <v/>
      </c>
      <c r="L137" s="1">
        <f>IF(Table156[[#This Row],[Voltage]]&gt;Threshold,1,0)</f>
        <v>1</v>
      </c>
      <c r="M137" s="1" t="b">
        <f>AND(Table156[[#This Row],[Last]]&gt;0,Table156[[#This Row],[Last]]&lt;MAX(Table156[Last]))</f>
        <v>1</v>
      </c>
      <c r="N137" s="41" t="str">
        <f>'Data In'!D143</f>
        <v>a</v>
      </c>
      <c r="O137" s="41" t="str">
        <f>'Data In'!E143</f>
        <v>a</v>
      </c>
      <c r="P137" s="41" t="e">
        <f t="shared" si="22"/>
        <v>#VALUE!</v>
      </c>
      <c r="Q137" s="41" t="e">
        <f t="shared" si="19"/>
        <v>#DIV/0!</v>
      </c>
      <c r="R137" s="41" t="e">
        <f>IF(Table156[[#This Row],[Rising Through Threshold2]],Table156[[#This Row],[Start time2]],R136)</f>
        <v>#DIV/0!</v>
      </c>
      <c r="S137" s="41" t="e">
        <f>IF(AND(Table156[[#This Row],[Rising Through Threshold2]],R136&gt;0),R137-R136,"")</f>
        <v>#DIV/0!</v>
      </c>
      <c r="T137" s="41" t="e">
        <f>IF(Table156[[#This Row],[Voltage2]]&gt;Threshold2,1,0)</f>
        <v>#DIV/0!</v>
      </c>
      <c r="U137" s="41" t="e">
        <f>AND(Table156[[#This Row],[Last2]]&gt;0,Table156[[#This Row],[Last2]]&lt;MAX(Table156[Last2]))</f>
        <v>#DIV/0!</v>
      </c>
      <c r="V137" s="41" t="b">
        <f>OR('Data In'!B143&gt;'Data In'!B142)</f>
        <v>1</v>
      </c>
      <c r="W137" s="41">
        <f>COUNTIF($V$2:V137,"false")</f>
        <v>1</v>
      </c>
      <c r="X137" s="57"/>
    </row>
    <row r="138" spans="1:24" x14ac:dyDescent="0.45">
      <c r="A138" s="1" t="s">
        <v>156</v>
      </c>
      <c r="B138" s="1">
        <f t="shared" si="20"/>
        <v>6</v>
      </c>
      <c r="C138" s="1">
        <f t="shared" si="18"/>
        <v>12</v>
      </c>
      <c r="D138" s="1">
        <f t="shared" si="18"/>
        <v>17</v>
      </c>
      <c r="E138" s="1" t="e">
        <f t="shared" si="18"/>
        <v>#VALUE!</v>
      </c>
      <c r="F138" s="3">
        <f>IF(Table156[[#This Row],[seq]]&gt;=Table156[[#Totals],[seq]],'Data In'!B144,"")</f>
        <v>3557.76</v>
      </c>
      <c r="G138" s="4">
        <f>'Data In'!C144</f>
        <v>3.73</v>
      </c>
      <c r="H138" s="3" t="e">
        <f t="shared" si="21"/>
        <v>#VALUE!</v>
      </c>
      <c r="I138" s="1" t="b">
        <f t="shared" si="17"/>
        <v>0</v>
      </c>
      <c r="J138" s="1">
        <f>IF(Table156[[#This Row],[Rising Through Threshold]],Table156[[#This Row],[Start time]],J137)</f>
        <v>3296.16</v>
      </c>
      <c r="K138" s="1" t="str">
        <f>IF(AND(Table156[[#This Row],[Rising Through Threshold]],J137&gt;0),J138-J137,"")</f>
        <v/>
      </c>
      <c r="L138" s="1">
        <f>IF(Table156[[#This Row],[Voltage]]&gt;Threshold,1,0)</f>
        <v>1</v>
      </c>
      <c r="M138" s="1" t="b">
        <f>AND(Table156[[#This Row],[Last]]&gt;0,Table156[[#This Row],[Last]]&lt;MAX(Table156[Last]))</f>
        <v>1</v>
      </c>
      <c r="N138" s="41" t="str">
        <f>'Data In'!D144</f>
        <v>a</v>
      </c>
      <c r="O138" s="41" t="str">
        <f>'Data In'!E144</f>
        <v>a</v>
      </c>
      <c r="P138" s="41" t="e">
        <f t="shared" si="22"/>
        <v>#VALUE!</v>
      </c>
      <c r="Q138" s="41" t="e">
        <f t="shared" si="19"/>
        <v>#DIV/0!</v>
      </c>
      <c r="R138" s="41" t="e">
        <f>IF(Table156[[#This Row],[Rising Through Threshold2]],Table156[[#This Row],[Start time2]],R137)</f>
        <v>#DIV/0!</v>
      </c>
      <c r="S138" s="41" t="e">
        <f>IF(AND(Table156[[#This Row],[Rising Through Threshold2]],R137&gt;0),R138-R137,"")</f>
        <v>#DIV/0!</v>
      </c>
      <c r="T138" s="41" t="e">
        <f>IF(Table156[[#This Row],[Voltage2]]&gt;Threshold2,1,0)</f>
        <v>#DIV/0!</v>
      </c>
      <c r="U138" s="41" t="e">
        <f>AND(Table156[[#This Row],[Last2]]&gt;0,Table156[[#This Row],[Last2]]&lt;MAX(Table156[Last2]))</f>
        <v>#DIV/0!</v>
      </c>
      <c r="V138" s="41" t="b">
        <f>OR('Data In'!B144&gt;'Data In'!B143)</f>
        <v>1</v>
      </c>
      <c r="W138" s="41">
        <f>COUNTIF($V$2:V138,"false")</f>
        <v>1</v>
      </c>
      <c r="X138" s="57"/>
    </row>
    <row r="139" spans="1:24" x14ac:dyDescent="0.45">
      <c r="A139" s="1" t="s">
        <v>157</v>
      </c>
      <c r="B139" s="1">
        <f t="shared" si="20"/>
        <v>6</v>
      </c>
      <c r="C139" s="1">
        <f t="shared" si="18"/>
        <v>12</v>
      </c>
      <c r="D139" s="1">
        <f t="shared" si="18"/>
        <v>17</v>
      </c>
      <c r="E139" s="1" t="e">
        <f t="shared" si="18"/>
        <v>#VALUE!</v>
      </c>
      <c r="F139" s="3">
        <f>IF(Table156[[#This Row],[seq]]&gt;=Table156[[#Totals],[seq]],'Data In'!B145,"")</f>
        <v>3583.92</v>
      </c>
      <c r="G139" s="4">
        <f>'Data In'!C145</f>
        <v>3.73</v>
      </c>
      <c r="H139" s="3" t="e">
        <f t="shared" si="21"/>
        <v>#VALUE!</v>
      </c>
      <c r="I139" s="1" t="b">
        <f t="shared" si="17"/>
        <v>0</v>
      </c>
      <c r="J139" s="1">
        <f>IF(Table156[[#This Row],[Rising Through Threshold]],Table156[[#This Row],[Start time]],J138)</f>
        <v>3296.16</v>
      </c>
      <c r="K139" s="1" t="str">
        <f>IF(AND(Table156[[#This Row],[Rising Through Threshold]],J138&gt;0),J139-J138,"")</f>
        <v/>
      </c>
      <c r="L139" s="1">
        <f>IF(Table156[[#This Row],[Voltage]]&gt;Threshold,1,0)</f>
        <v>1</v>
      </c>
      <c r="M139" s="1" t="b">
        <f>AND(Table156[[#This Row],[Last]]&gt;0,Table156[[#This Row],[Last]]&lt;MAX(Table156[Last]))</f>
        <v>1</v>
      </c>
      <c r="N139" s="41" t="str">
        <f>'Data In'!D145</f>
        <v>a</v>
      </c>
      <c r="O139" s="41" t="str">
        <f>'Data In'!E145</f>
        <v>a</v>
      </c>
      <c r="P139" s="41" t="e">
        <f t="shared" si="22"/>
        <v>#VALUE!</v>
      </c>
      <c r="Q139" s="41" t="e">
        <f t="shared" si="19"/>
        <v>#DIV/0!</v>
      </c>
      <c r="R139" s="41" t="e">
        <f>IF(Table156[[#This Row],[Rising Through Threshold2]],Table156[[#This Row],[Start time2]],R138)</f>
        <v>#DIV/0!</v>
      </c>
      <c r="S139" s="41" t="e">
        <f>IF(AND(Table156[[#This Row],[Rising Through Threshold2]],R138&gt;0),R139-R138,"")</f>
        <v>#DIV/0!</v>
      </c>
      <c r="T139" s="41" t="e">
        <f>IF(Table156[[#This Row],[Voltage2]]&gt;Threshold2,1,0)</f>
        <v>#DIV/0!</v>
      </c>
      <c r="U139" s="41" t="e">
        <f>AND(Table156[[#This Row],[Last2]]&gt;0,Table156[[#This Row],[Last2]]&lt;MAX(Table156[Last2]))</f>
        <v>#DIV/0!</v>
      </c>
      <c r="V139" s="41" t="b">
        <f>OR('Data In'!B145&gt;'Data In'!B144)</f>
        <v>1</v>
      </c>
      <c r="W139" s="41">
        <f>COUNTIF($V$2:V139,"false")</f>
        <v>1</v>
      </c>
      <c r="X139" s="57"/>
    </row>
    <row r="140" spans="1:24" x14ac:dyDescent="0.45">
      <c r="A140" s="1" t="s">
        <v>158</v>
      </c>
      <c r="B140" s="1">
        <f t="shared" si="20"/>
        <v>6</v>
      </c>
      <c r="C140" s="1">
        <f t="shared" si="18"/>
        <v>12</v>
      </c>
      <c r="D140" s="1">
        <f t="shared" si="18"/>
        <v>17</v>
      </c>
      <c r="E140" s="1" t="e">
        <f t="shared" si="18"/>
        <v>#VALUE!</v>
      </c>
      <c r="F140" s="3">
        <f>IF(Table156[[#This Row],[seq]]&gt;=Table156[[#Totals],[seq]],'Data In'!B146,"")</f>
        <v>3610.8</v>
      </c>
      <c r="G140" s="4">
        <f>'Data In'!C146</f>
        <v>3.67</v>
      </c>
      <c r="H140" s="3" t="e">
        <f t="shared" si="21"/>
        <v>#VALUE!</v>
      </c>
      <c r="I140" s="1" t="b">
        <f t="shared" si="17"/>
        <v>0</v>
      </c>
      <c r="J140" s="1">
        <f>IF(Table156[[#This Row],[Rising Through Threshold]],Table156[[#This Row],[Start time]],J139)</f>
        <v>3296.16</v>
      </c>
      <c r="K140" s="1" t="str">
        <f>IF(AND(Table156[[#This Row],[Rising Through Threshold]],J139&gt;0),J140-J139,"")</f>
        <v/>
      </c>
      <c r="L140" s="1">
        <f>IF(Table156[[#This Row],[Voltage]]&gt;Threshold,1,0)</f>
        <v>1</v>
      </c>
      <c r="M140" s="1" t="b">
        <f>AND(Table156[[#This Row],[Last]]&gt;0,Table156[[#This Row],[Last]]&lt;MAX(Table156[Last]))</f>
        <v>1</v>
      </c>
      <c r="N140" s="41" t="str">
        <f>'Data In'!D146</f>
        <v>a</v>
      </c>
      <c r="O140" s="41" t="str">
        <f>'Data In'!E146</f>
        <v>a</v>
      </c>
      <c r="P140" s="41" t="e">
        <f t="shared" si="22"/>
        <v>#VALUE!</v>
      </c>
      <c r="Q140" s="41" t="e">
        <f t="shared" si="19"/>
        <v>#DIV/0!</v>
      </c>
      <c r="R140" s="41" t="e">
        <f>IF(Table156[[#This Row],[Rising Through Threshold2]],Table156[[#This Row],[Start time2]],R139)</f>
        <v>#DIV/0!</v>
      </c>
      <c r="S140" s="41" t="e">
        <f>IF(AND(Table156[[#This Row],[Rising Through Threshold2]],R139&gt;0),R140-R139,"")</f>
        <v>#DIV/0!</v>
      </c>
      <c r="T140" s="41" t="e">
        <f>IF(Table156[[#This Row],[Voltage2]]&gt;Threshold2,1,0)</f>
        <v>#DIV/0!</v>
      </c>
      <c r="U140" s="41" t="e">
        <f>AND(Table156[[#This Row],[Last2]]&gt;0,Table156[[#This Row],[Last2]]&lt;MAX(Table156[Last2]))</f>
        <v>#DIV/0!</v>
      </c>
      <c r="V140" s="41" t="b">
        <f>OR('Data In'!B146&gt;'Data In'!B145)</f>
        <v>1</v>
      </c>
      <c r="W140" s="41">
        <f>COUNTIF($V$2:V140,"false")</f>
        <v>1</v>
      </c>
      <c r="X140" s="57"/>
    </row>
    <row r="141" spans="1:24" x14ac:dyDescent="0.45">
      <c r="A141" s="1" t="s">
        <v>159</v>
      </c>
      <c r="B141" s="1">
        <f t="shared" si="20"/>
        <v>6</v>
      </c>
      <c r="C141" s="1">
        <f t="shared" si="18"/>
        <v>12</v>
      </c>
      <c r="D141" s="1">
        <f t="shared" si="18"/>
        <v>17</v>
      </c>
      <c r="E141" s="1" t="e">
        <f t="shared" si="18"/>
        <v>#VALUE!</v>
      </c>
      <c r="F141" s="3">
        <f>IF(Table156[[#This Row],[seq]]&gt;=Table156[[#Totals],[seq]],'Data In'!B147,"")</f>
        <v>3636.24</v>
      </c>
      <c r="G141" s="4">
        <f>'Data In'!C147</f>
        <v>3.45</v>
      </c>
      <c r="H141" s="3" t="e">
        <f t="shared" si="21"/>
        <v>#VALUE!</v>
      </c>
      <c r="I141" s="1" t="b">
        <f t="shared" si="17"/>
        <v>0</v>
      </c>
      <c r="J141" s="1">
        <f>IF(Table156[[#This Row],[Rising Through Threshold]],Table156[[#This Row],[Start time]],J140)</f>
        <v>3296.16</v>
      </c>
      <c r="K141" s="1" t="str">
        <f>IF(AND(Table156[[#This Row],[Rising Through Threshold]],J140&gt;0),J141-J140,"")</f>
        <v/>
      </c>
      <c r="L141" s="1">
        <f>IF(Table156[[#This Row],[Voltage]]&gt;Threshold,1,0)</f>
        <v>1</v>
      </c>
      <c r="M141" s="1" t="b">
        <f>AND(Table156[[#This Row],[Last]]&gt;0,Table156[[#This Row],[Last]]&lt;MAX(Table156[Last]))</f>
        <v>1</v>
      </c>
      <c r="N141" s="41" t="str">
        <f>'Data In'!D147</f>
        <v>a</v>
      </c>
      <c r="O141" s="41" t="str">
        <f>'Data In'!E147</f>
        <v>a</v>
      </c>
      <c r="P141" s="41" t="e">
        <f t="shared" si="22"/>
        <v>#VALUE!</v>
      </c>
      <c r="Q141" s="41" t="e">
        <f t="shared" si="19"/>
        <v>#DIV/0!</v>
      </c>
      <c r="R141" s="41" t="e">
        <f>IF(Table156[[#This Row],[Rising Through Threshold2]],Table156[[#This Row],[Start time2]],R140)</f>
        <v>#DIV/0!</v>
      </c>
      <c r="S141" s="41" t="e">
        <f>IF(AND(Table156[[#This Row],[Rising Through Threshold2]],R140&gt;0),R141-R140,"")</f>
        <v>#DIV/0!</v>
      </c>
      <c r="T141" s="41" t="e">
        <f>IF(Table156[[#This Row],[Voltage2]]&gt;Threshold2,1,0)</f>
        <v>#DIV/0!</v>
      </c>
      <c r="U141" s="41" t="e">
        <f>AND(Table156[[#This Row],[Last2]]&gt;0,Table156[[#This Row],[Last2]]&lt;MAX(Table156[Last2]))</f>
        <v>#DIV/0!</v>
      </c>
      <c r="V141" s="41" t="b">
        <f>OR('Data In'!B147&gt;'Data In'!B146)</f>
        <v>1</v>
      </c>
      <c r="W141" s="41">
        <f>COUNTIF($V$2:V141,"false")</f>
        <v>1</v>
      </c>
      <c r="X141" s="57"/>
    </row>
    <row r="142" spans="1:24" x14ac:dyDescent="0.45">
      <c r="A142" s="1" t="s">
        <v>160</v>
      </c>
      <c r="B142" s="1">
        <f t="shared" si="20"/>
        <v>6</v>
      </c>
      <c r="C142" s="1">
        <f t="shared" si="18"/>
        <v>12</v>
      </c>
      <c r="D142" s="1">
        <f t="shared" si="18"/>
        <v>17</v>
      </c>
      <c r="E142" s="1" t="e">
        <f t="shared" si="18"/>
        <v>#VALUE!</v>
      </c>
      <c r="F142" s="3">
        <f>IF(Table156[[#This Row],[seq]]&gt;=Table156[[#Totals],[seq]],'Data In'!B148,"")</f>
        <v>3662.4</v>
      </c>
      <c r="G142" s="4">
        <f>'Data In'!C148</f>
        <v>3.06</v>
      </c>
      <c r="H142" s="3" t="e">
        <f t="shared" si="21"/>
        <v>#VALUE!</v>
      </c>
      <c r="I142" s="1" t="b">
        <f t="shared" si="17"/>
        <v>0</v>
      </c>
      <c r="J142" s="1">
        <f>IF(Table156[[#This Row],[Rising Through Threshold]],Table156[[#This Row],[Start time]],J141)</f>
        <v>3296.16</v>
      </c>
      <c r="K142" s="1" t="str">
        <f>IF(AND(Table156[[#This Row],[Rising Through Threshold]],J141&gt;0),J142-J141,"")</f>
        <v/>
      </c>
      <c r="L142" s="1">
        <f>IF(Table156[[#This Row],[Voltage]]&gt;Threshold,1,0)</f>
        <v>1</v>
      </c>
      <c r="M142" s="1" t="b">
        <f>AND(Table156[[#This Row],[Last]]&gt;0,Table156[[#This Row],[Last]]&lt;MAX(Table156[Last]))</f>
        <v>1</v>
      </c>
      <c r="N142" s="41" t="str">
        <f>'Data In'!D148</f>
        <v>a</v>
      </c>
      <c r="O142" s="41" t="str">
        <f>'Data In'!E148</f>
        <v>a</v>
      </c>
      <c r="P142" s="41" t="e">
        <f t="shared" si="22"/>
        <v>#VALUE!</v>
      </c>
      <c r="Q142" s="41" t="e">
        <f t="shared" si="19"/>
        <v>#DIV/0!</v>
      </c>
      <c r="R142" s="41" t="e">
        <f>IF(Table156[[#This Row],[Rising Through Threshold2]],Table156[[#This Row],[Start time2]],R141)</f>
        <v>#DIV/0!</v>
      </c>
      <c r="S142" s="41" t="e">
        <f>IF(AND(Table156[[#This Row],[Rising Through Threshold2]],R141&gt;0),R142-R141,"")</f>
        <v>#DIV/0!</v>
      </c>
      <c r="T142" s="41" t="e">
        <f>IF(Table156[[#This Row],[Voltage2]]&gt;Threshold2,1,0)</f>
        <v>#DIV/0!</v>
      </c>
      <c r="U142" s="41" t="e">
        <f>AND(Table156[[#This Row],[Last2]]&gt;0,Table156[[#This Row],[Last2]]&lt;MAX(Table156[Last2]))</f>
        <v>#DIV/0!</v>
      </c>
      <c r="V142" s="41" t="b">
        <f>OR('Data In'!B148&gt;'Data In'!B147)</f>
        <v>1</v>
      </c>
      <c r="W142" s="41">
        <f>COUNTIF($V$2:V142,"false")</f>
        <v>1</v>
      </c>
      <c r="X142" s="57"/>
    </row>
    <row r="143" spans="1:24" x14ac:dyDescent="0.45">
      <c r="A143" s="1" t="s">
        <v>161</v>
      </c>
      <c r="B143" s="1">
        <f t="shared" si="20"/>
        <v>6</v>
      </c>
      <c r="C143" s="1">
        <f t="shared" si="18"/>
        <v>12</v>
      </c>
      <c r="D143" s="1">
        <f t="shared" si="18"/>
        <v>17</v>
      </c>
      <c r="E143" s="1" t="e">
        <f t="shared" si="18"/>
        <v>#VALUE!</v>
      </c>
      <c r="F143" s="3">
        <f>IF(Table156[[#This Row],[seq]]&gt;=Table156[[#Totals],[seq]],'Data In'!B149,"")</f>
        <v>3688.56</v>
      </c>
      <c r="G143" s="4">
        <f>'Data In'!C149</f>
        <v>2.4900000000000002</v>
      </c>
      <c r="H143" s="3" t="e">
        <f t="shared" si="21"/>
        <v>#VALUE!</v>
      </c>
      <c r="I143" s="1" t="b">
        <f t="shared" si="17"/>
        <v>0</v>
      </c>
      <c r="J143" s="1">
        <f>IF(Table156[[#This Row],[Rising Through Threshold]],Table156[[#This Row],[Start time]],J142)</f>
        <v>3296.16</v>
      </c>
      <c r="K143" s="1" t="str">
        <f>IF(AND(Table156[[#This Row],[Rising Through Threshold]],J142&gt;0),J143-J142,"")</f>
        <v/>
      </c>
      <c r="L143" s="1">
        <f>IF(Table156[[#This Row],[Voltage]]&gt;Threshold,1,0)</f>
        <v>1</v>
      </c>
      <c r="M143" s="1" t="b">
        <f>AND(Table156[[#This Row],[Last]]&gt;0,Table156[[#This Row],[Last]]&lt;MAX(Table156[Last]))</f>
        <v>1</v>
      </c>
      <c r="N143" s="41" t="str">
        <f>'Data In'!D149</f>
        <v>a</v>
      </c>
      <c r="O143" s="41" t="str">
        <f>'Data In'!E149</f>
        <v>a</v>
      </c>
      <c r="P143" s="41" t="e">
        <f t="shared" si="22"/>
        <v>#VALUE!</v>
      </c>
      <c r="Q143" s="41" t="e">
        <f t="shared" si="19"/>
        <v>#DIV/0!</v>
      </c>
      <c r="R143" s="41" t="e">
        <f>IF(Table156[[#This Row],[Rising Through Threshold2]],Table156[[#This Row],[Start time2]],R142)</f>
        <v>#DIV/0!</v>
      </c>
      <c r="S143" s="41" t="e">
        <f>IF(AND(Table156[[#This Row],[Rising Through Threshold2]],R142&gt;0),R143-R142,"")</f>
        <v>#DIV/0!</v>
      </c>
      <c r="T143" s="41" t="e">
        <f>IF(Table156[[#This Row],[Voltage2]]&gt;Threshold2,1,0)</f>
        <v>#DIV/0!</v>
      </c>
      <c r="U143" s="41" t="e">
        <f>AND(Table156[[#This Row],[Last2]]&gt;0,Table156[[#This Row],[Last2]]&lt;MAX(Table156[Last2]))</f>
        <v>#DIV/0!</v>
      </c>
      <c r="V143" s="41" t="b">
        <f>OR('Data In'!B149&gt;'Data In'!B148)</f>
        <v>1</v>
      </c>
      <c r="W143" s="41">
        <f>COUNTIF($V$2:V143,"false")</f>
        <v>1</v>
      </c>
      <c r="X143" s="57"/>
    </row>
    <row r="144" spans="1:24" x14ac:dyDescent="0.45">
      <c r="A144" s="1" t="s">
        <v>162</v>
      </c>
      <c r="B144" s="1">
        <f t="shared" si="20"/>
        <v>6</v>
      </c>
      <c r="C144" s="1">
        <f t="shared" si="18"/>
        <v>12</v>
      </c>
      <c r="D144" s="1">
        <f t="shared" si="18"/>
        <v>17</v>
      </c>
      <c r="E144" s="1" t="e">
        <f t="shared" si="18"/>
        <v>#VALUE!</v>
      </c>
      <c r="F144" s="3">
        <f>IF(Table156[[#This Row],[seq]]&gt;=Table156[[#Totals],[seq]],'Data In'!B150,"")</f>
        <v>3714.72</v>
      </c>
      <c r="G144" s="4">
        <f>'Data In'!C150</f>
        <v>1.78</v>
      </c>
      <c r="H144" s="3" t="e">
        <f t="shared" si="21"/>
        <v>#VALUE!</v>
      </c>
      <c r="I144" s="1" t="b">
        <f t="shared" si="17"/>
        <v>0</v>
      </c>
      <c r="J144" s="1">
        <f>IF(Table156[[#This Row],[Rising Through Threshold]],Table156[[#This Row],[Start time]],J143)</f>
        <v>3296.16</v>
      </c>
      <c r="K144" s="1" t="str">
        <f>IF(AND(Table156[[#This Row],[Rising Through Threshold]],J143&gt;0),J144-J143,"")</f>
        <v/>
      </c>
      <c r="L144" s="1">
        <f>IF(Table156[[#This Row],[Voltage]]&gt;Threshold,1,0)</f>
        <v>0</v>
      </c>
      <c r="M144" s="1" t="b">
        <f>AND(Table156[[#This Row],[Last]]&gt;0,Table156[[#This Row],[Last]]&lt;MAX(Table156[Last]))</f>
        <v>1</v>
      </c>
      <c r="N144" s="41" t="str">
        <f>'Data In'!D150</f>
        <v>a</v>
      </c>
      <c r="O144" s="41" t="str">
        <f>'Data In'!E150</f>
        <v>a</v>
      </c>
      <c r="P144" s="41" t="e">
        <f t="shared" si="22"/>
        <v>#VALUE!</v>
      </c>
      <c r="Q144" s="41" t="e">
        <f t="shared" si="19"/>
        <v>#DIV/0!</v>
      </c>
      <c r="R144" s="41" t="e">
        <f>IF(Table156[[#This Row],[Rising Through Threshold2]],Table156[[#This Row],[Start time2]],R143)</f>
        <v>#DIV/0!</v>
      </c>
      <c r="S144" s="41" t="e">
        <f>IF(AND(Table156[[#This Row],[Rising Through Threshold2]],R143&gt;0),R144-R143,"")</f>
        <v>#DIV/0!</v>
      </c>
      <c r="T144" s="41" t="e">
        <f>IF(Table156[[#This Row],[Voltage2]]&gt;Threshold2,1,0)</f>
        <v>#DIV/0!</v>
      </c>
      <c r="U144" s="41" t="e">
        <f>AND(Table156[[#This Row],[Last2]]&gt;0,Table156[[#This Row],[Last2]]&lt;MAX(Table156[Last2]))</f>
        <v>#DIV/0!</v>
      </c>
      <c r="V144" s="41" t="b">
        <f>OR('Data In'!B150&gt;'Data In'!B149)</f>
        <v>1</v>
      </c>
      <c r="W144" s="41">
        <f>COUNTIF($V$2:V144,"false")</f>
        <v>1</v>
      </c>
      <c r="X144" s="57"/>
    </row>
    <row r="145" spans="1:24" x14ac:dyDescent="0.45">
      <c r="A145" s="1" t="s">
        <v>163</v>
      </c>
      <c r="B145" s="1">
        <f t="shared" si="20"/>
        <v>6</v>
      </c>
      <c r="C145" s="1">
        <f t="shared" si="18"/>
        <v>12</v>
      </c>
      <c r="D145" s="1">
        <f t="shared" si="18"/>
        <v>17</v>
      </c>
      <c r="E145" s="1" t="e">
        <f t="shared" si="18"/>
        <v>#VALUE!</v>
      </c>
      <c r="F145" s="3">
        <f>IF(Table156[[#This Row],[seq]]&gt;=Table156[[#Totals],[seq]],'Data In'!B151,"")</f>
        <v>3740.88</v>
      </c>
      <c r="G145" s="4">
        <f>'Data In'!C151</f>
        <v>1.06</v>
      </c>
      <c r="H145" s="3" t="e">
        <f t="shared" si="21"/>
        <v>#VALUE!</v>
      </c>
      <c r="I145" s="1" t="b">
        <f t="shared" si="17"/>
        <v>0</v>
      </c>
      <c r="J145" s="1">
        <f>IF(Table156[[#This Row],[Rising Through Threshold]],Table156[[#This Row],[Start time]],J144)</f>
        <v>3296.16</v>
      </c>
      <c r="K145" s="1" t="str">
        <f>IF(AND(Table156[[#This Row],[Rising Through Threshold]],J144&gt;0),J145-J144,"")</f>
        <v/>
      </c>
      <c r="L145" s="1">
        <f>IF(Table156[[#This Row],[Voltage]]&gt;Threshold,1,0)</f>
        <v>0</v>
      </c>
      <c r="M145" s="1" t="b">
        <f>AND(Table156[[#This Row],[Last]]&gt;0,Table156[[#This Row],[Last]]&lt;MAX(Table156[Last]))</f>
        <v>1</v>
      </c>
      <c r="N145" s="41" t="str">
        <f>'Data In'!D151</f>
        <v>a</v>
      </c>
      <c r="O145" s="41" t="str">
        <f>'Data In'!E151</f>
        <v>a</v>
      </c>
      <c r="P145" s="41" t="e">
        <f t="shared" si="22"/>
        <v>#VALUE!</v>
      </c>
      <c r="Q145" s="41" t="e">
        <f t="shared" si="19"/>
        <v>#DIV/0!</v>
      </c>
      <c r="R145" s="41" t="e">
        <f>IF(Table156[[#This Row],[Rising Through Threshold2]],Table156[[#This Row],[Start time2]],R144)</f>
        <v>#DIV/0!</v>
      </c>
      <c r="S145" s="41" t="e">
        <f>IF(AND(Table156[[#This Row],[Rising Through Threshold2]],R144&gt;0),R145-R144,"")</f>
        <v>#DIV/0!</v>
      </c>
      <c r="T145" s="41" t="e">
        <f>IF(Table156[[#This Row],[Voltage2]]&gt;Threshold2,1,0)</f>
        <v>#DIV/0!</v>
      </c>
      <c r="U145" s="41" t="e">
        <f>AND(Table156[[#This Row],[Last2]]&gt;0,Table156[[#This Row],[Last2]]&lt;MAX(Table156[Last2]))</f>
        <v>#DIV/0!</v>
      </c>
      <c r="V145" s="41" t="b">
        <f>OR('Data In'!B151&gt;'Data In'!B150)</f>
        <v>1</v>
      </c>
      <c r="W145" s="41">
        <f>COUNTIF($V$2:V145,"false")</f>
        <v>1</v>
      </c>
      <c r="X145" s="57"/>
    </row>
    <row r="146" spans="1:24" x14ac:dyDescent="0.45">
      <c r="A146" s="1" t="s">
        <v>164</v>
      </c>
      <c r="B146" s="1">
        <f t="shared" si="20"/>
        <v>6</v>
      </c>
      <c r="C146" s="1">
        <f t="shared" si="18"/>
        <v>12</v>
      </c>
      <c r="D146" s="1">
        <f t="shared" si="18"/>
        <v>17</v>
      </c>
      <c r="E146" s="1" t="e">
        <f t="shared" si="18"/>
        <v>#VALUE!</v>
      </c>
      <c r="F146" s="3">
        <f>IF(Table156[[#This Row],[seq]]&gt;=Table156[[#Totals],[seq]],'Data In'!B152,"")</f>
        <v>3767.4</v>
      </c>
      <c r="G146" s="4">
        <f>'Data In'!C152</f>
        <v>0.47</v>
      </c>
      <c r="H146" s="3" t="e">
        <f t="shared" si="21"/>
        <v>#VALUE!</v>
      </c>
      <c r="I146" s="1" t="b">
        <f t="shared" si="17"/>
        <v>0</v>
      </c>
      <c r="J146" s="1">
        <f>IF(Table156[[#This Row],[Rising Through Threshold]],Table156[[#This Row],[Start time]],J145)</f>
        <v>3296.16</v>
      </c>
      <c r="K146" s="1" t="str">
        <f>IF(AND(Table156[[#This Row],[Rising Through Threshold]],J145&gt;0),J146-J145,"")</f>
        <v/>
      </c>
      <c r="L146" s="1">
        <f>IF(Table156[[#This Row],[Voltage]]&gt;Threshold,1,0)</f>
        <v>0</v>
      </c>
      <c r="M146" s="1" t="b">
        <f>AND(Table156[[#This Row],[Last]]&gt;0,Table156[[#This Row],[Last]]&lt;MAX(Table156[Last]))</f>
        <v>1</v>
      </c>
      <c r="N146" s="41" t="str">
        <f>'Data In'!D152</f>
        <v>a</v>
      </c>
      <c r="O146" s="41" t="str">
        <f>'Data In'!E152</f>
        <v>a</v>
      </c>
      <c r="P146" s="41" t="e">
        <f t="shared" si="22"/>
        <v>#VALUE!</v>
      </c>
      <c r="Q146" s="41" t="e">
        <f t="shared" si="19"/>
        <v>#DIV/0!</v>
      </c>
      <c r="R146" s="41" t="e">
        <f>IF(Table156[[#This Row],[Rising Through Threshold2]],Table156[[#This Row],[Start time2]],R145)</f>
        <v>#DIV/0!</v>
      </c>
      <c r="S146" s="41" t="e">
        <f>IF(AND(Table156[[#This Row],[Rising Through Threshold2]],R145&gt;0),R146-R145,"")</f>
        <v>#DIV/0!</v>
      </c>
      <c r="T146" s="41" t="e">
        <f>IF(Table156[[#This Row],[Voltage2]]&gt;Threshold2,1,0)</f>
        <v>#DIV/0!</v>
      </c>
      <c r="U146" s="41" t="e">
        <f>AND(Table156[[#This Row],[Last2]]&gt;0,Table156[[#This Row],[Last2]]&lt;MAX(Table156[Last2]))</f>
        <v>#DIV/0!</v>
      </c>
      <c r="V146" s="41" t="b">
        <f>OR('Data In'!B152&gt;'Data In'!B151)</f>
        <v>1</v>
      </c>
      <c r="W146" s="41">
        <f>COUNTIF($V$2:V146,"false")</f>
        <v>1</v>
      </c>
      <c r="X146" s="57"/>
    </row>
    <row r="147" spans="1:24" x14ac:dyDescent="0.45">
      <c r="A147" s="1" t="s">
        <v>165</v>
      </c>
      <c r="B147" s="1">
        <f t="shared" si="20"/>
        <v>6</v>
      </c>
      <c r="C147" s="1">
        <f t="shared" si="18"/>
        <v>12</v>
      </c>
      <c r="D147" s="1">
        <f t="shared" si="18"/>
        <v>17</v>
      </c>
      <c r="E147" s="1" t="e">
        <f t="shared" si="18"/>
        <v>#VALUE!</v>
      </c>
      <c r="F147" s="3">
        <f>IF(Table156[[#This Row],[seq]]&gt;=Table156[[#Totals],[seq]],'Data In'!B153,"")</f>
        <v>3793.2</v>
      </c>
      <c r="G147" s="4">
        <f>'Data In'!C153</f>
        <v>0.45</v>
      </c>
      <c r="H147" s="3" t="e">
        <f t="shared" si="21"/>
        <v>#VALUE!</v>
      </c>
      <c r="I147" s="1" t="b">
        <f t="shared" si="17"/>
        <v>0</v>
      </c>
      <c r="J147" s="1">
        <f>IF(Table156[[#This Row],[Rising Through Threshold]],Table156[[#This Row],[Start time]],J146)</f>
        <v>3296.16</v>
      </c>
      <c r="K147" s="1" t="str">
        <f>IF(AND(Table156[[#This Row],[Rising Through Threshold]],J146&gt;0),J147-J146,"")</f>
        <v/>
      </c>
      <c r="L147" s="1">
        <f>IF(Table156[[#This Row],[Voltage]]&gt;Threshold,1,0)</f>
        <v>0</v>
      </c>
      <c r="M147" s="1" t="b">
        <f>AND(Table156[[#This Row],[Last]]&gt;0,Table156[[#This Row],[Last]]&lt;MAX(Table156[Last]))</f>
        <v>1</v>
      </c>
      <c r="N147" s="41" t="str">
        <f>'Data In'!D153</f>
        <v>a</v>
      </c>
      <c r="O147" s="41" t="str">
        <f>'Data In'!E153</f>
        <v>a</v>
      </c>
      <c r="P147" s="41" t="e">
        <f t="shared" si="22"/>
        <v>#VALUE!</v>
      </c>
      <c r="Q147" s="41" t="e">
        <f t="shared" si="19"/>
        <v>#DIV/0!</v>
      </c>
      <c r="R147" s="41" t="e">
        <f>IF(Table156[[#This Row],[Rising Through Threshold2]],Table156[[#This Row],[Start time2]],R146)</f>
        <v>#DIV/0!</v>
      </c>
      <c r="S147" s="41" t="e">
        <f>IF(AND(Table156[[#This Row],[Rising Through Threshold2]],R146&gt;0),R147-R146,"")</f>
        <v>#DIV/0!</v>
      </c>
      <c r="T147" s="41" t="e">
        <f>IF(Table156[[#This Row],[Voltage2]]&gt;Threshold2,1,0)</f>
        <v>#DIV/0!</v>
      </c>
      <c r="U147" s="41" t="e">
        <f>AND(Table156[[#This Row],[Last2]]&gt;0,Table156[[#This Row],[Last2]]&lt;MAX(Table156[Last2]))</f>
        <v>#DIV/0!</v>
      </c>
      <c r="V147" s="41" t="b">
        <f>OR('Data In'!B153&gt;'Data In'!B152)</f>
        <v>1</v>
      </c>
      <c r="W147" s="41">
        <f>COUNTIF($V$2:V147,"false")</f>
        <v>1</v>
      </c>
      <c r="X147" s="57"/>
    </row>
    <row r="148" spans="1:24" x14ac:dyDescent="0.45">
      <c r="A148" s="1" t="s">
        <v>166</v>
      </c>
      <c r="B148" s="1">
        <f t="shared" si="20"/>
        <v>6</v>
      </c>
      <c r="C148" s="1">
        <f t="shared" si="18"/>
        <v>12</v>
      </c>
      <c r="D148" s="1">
        <f t="shared" si="18"/>
        <v>17</v>
      </c>
      <c r="E148" s="1" t="e">
        <f t="shared" si="18"/>
        <v>#VALUE!</v>
      </c>
      <c r="F148" s="3">
        <f>IF(Table156[[#This Row],[seq]]&gt;=Table156[[#Totals],[seq]],'Data In'!B154,"")</f>
        <v>3819.36</v>
      </c>
      <c r="G148" s="4">
        <f>'Data In'!C154</f>
        <v>0.47</v>
      </c>
      <c r="H148" s="3" t="e">
        <f t="shared" si="21"/>
        <v>#VALUE!</v>
      </c>
      <c r="I148" s="1" t="b">
        <f t="shared" si="17"/>
        <v>0</v>
      </c>
      <c r="J148" s="1">
        <f>IF(Table156[[#This Row],[Rising Through Threshold]],Table156[[#This Row],[Start time]],J147)</f>
        <v>3296.16</v>
      </c>
      <c r="K148" s="1" t="str">
        <f>IF(AND(Table156[[#This Row],[Rising Through Threshold]],J147&gt;0),J148-J147,"")</f>
        <v/>
      </c>
      <c r="L148" s="1">
        <f>IF(Table156[[#This Row],[Voltage]]&gt;Threshold,1,0)</f>
        <v>0</v>
      </c>
      <c r="M148" s="1" t="b">
        <f>AND(Table156[[#This Row],[Last]]&gt;0,Table156[[#This Row],[Last]]&lt;MAX(Table156[Last]))</f>
        <v>1</v>
      </c>
      <c r="N148" s="41" t="str">
        <f>'Data In'!D154</f>
        <v>a</v>
      </c>
      <c r="O148" s="41" t="str">
        <f>'Data In'!E154</f>
        <v>a</v>
      </c>
      <c r="P148" s="41" t="e">
        <f t="shared" si="22"/>
        <v>#VALUE!</v>
      </c>
      <c r="Q148" s="41" t="e">
        <f t="shared" si="19"/>
        <v>#DIV/0!</v>
      </c>
      <c r="R148" s="41" t="e">
        <f>IF(Table156[[#This Row],[Rising Through Threshold2]],Table156[[#This Row],[Start time2]],R147)</f>
        <v>#DIV/0!</v>
      </c>
      <c r="S148" s="41" t="e">
        <f>IF(AND(Table156[[#This Row],[Rising Through Threshold2]],R147&gt;0),R148-R147,"")</f>
        <v>#DIV/0!</v>
      </c>
      <c r="T148" s="41" t="e">
        <f>IF(Table156[[#This Row],[Voltage2]]&gt;Threshold2,1,0)</f>
        <v>#DIV/0!</v>
      </c>
      <c r="U148" s="41" t="e">
        <f>AND(Table156[[#This Row],[Last2]]&gt;0,Table156[[#This Row],[Last2]]&lt;MAX(Table156[Last2]))</f>
        <v>#DIV/0!</v>
      </c>
      <c r="V148" s="41" t="b">
        <f>OR('Data In'!B154&gt;'Data In'!B153)</f>
        <v>1</v>
      </c>
      <c r="W148" s="41">
        <f>COUNTIF($V$2:V148,"false")</f>
        <v>1</v>
      </c>
      <c r="X148" s="57"/>
    </row>
    <row r="149" spans="1:24" x14ac:dyDescent="0.45">
      <c r="A149" s="1" t="s">
        <v>167</v>
      </c>
      <c r="B149" s="1">
        <f t="shared" si="20"/>
        <v>6</v>
      </c>
      <c r="C149" s="1">
        <f t="shared" si="18"/>
        <v>12</v>
      </c>
      <c r="D149" s="1">
        <f t="shared" si="18"/>
        <v>17</v>
      </c>
      <c r="E149" s="1" t="e">
        <f t="shared" si="18"/>
        <v>#VALUE!</v>
      </c>
      <c r="F149" s="3">
        <f>IF(Table156[[#This Row],[seq]]&gt;=Table156[[#Totals],[seq]],'Data In'!B155,"")</f>
        <v>3845.52</v>
      </c>
      <c r="G149" s="4">
        <f>'Data In'!C155</f>
        <v>0.53</v>
      </c>
      <c r="H149" s="3" t="e">
        <f t="shared" si="21"/>
        <v>#VALUE!</v>
      </c>
      <c r="I149" s="1" t="b">
        <f t="shared" si="17"/>
        <v>0</v>
      </c>
      <c r="J149" s="1">
        <f>IF(Table156[[#This Row],[Rising Through Threshold]],Table156[[#This Row],[Start time]],J148)</f>
        <v>3296.16</v>
      </c>
      <c r="K149" s="1" t="str">
        <f>IF(AND(Table156[[#This Row],[Rising Through Threshold]],J148&gt;0),J149-J148,"")</f>
        <v/>
      </c>
      <c r="L149" s="1">
        <f>IF(Table156[[#This Row],[Voltage]]&gt;Threshold,1,0)</f>
        <v>0</v>
      </c>
      <c r="M149" s="1" t="b">
        <f>AND(Table156[[#This Row],[Last]]&gt;0,Table156[[#This Row],[Last]]&lt;MAX(Table156[Last]))</f>
        <v>1</v>
      </c>
      <c r="N149" s="41" t="str">
        <f>'Data In'!D155</f>
        <v>a</v>
      </c>
      <c r="O149" s="41" t="str">
        <f>'Data In'!E155</f>
        <v>a</v>
      </c>
      <c r="P149" s="41" t="e">
        <f t="shared" si="22"/>
        <v>#VALUE!</v>
      </c>
      <c r="Q149" s="41" t="e">
        <f t="shared" si="19"/>
        <v>#DIV/0!</v>
      </c>
      <c r="R149" s="41" t="e">
        <f>IF(Table156[[#This Row],[Rising Through Threshold2]],Table156[[#This Row],[Start time2]],R148)</f>
        <v>#DIV/0!</v>
      </c>
      <c r="S149" s="41" t="e">
        <f>IF(AND(Table156[[#This Row],[Rising Through Threshold2]],R148&gt;0),R149-R148,"")</f>
        <v>#DIV/0!</v>
      </c>
      <c r="T149" s="41" t="e">
        <f>IF(Table156[[#This Row],[Voltage2]]&gt;Threshold2,1,0)</f>
        <v>#DIV/0!</v>
      </c>
      <c r="U149" s="41" t="e">
        <f>AND(Table156[[#This Row],[Last2]]&gt;0,Table156[[#This Row],[Last2]]&lt;MAX(Table156[Last2]))</f>
        <v>#DIV/0!</v>
      </c>
      <c r="V149" s="41" t="b">
        <f>OR('Data In'!B155&gt;'Data In'!B154)</f>
        <v>1</v>
      </c>
      <c r="W149" s="41">
        <f>COUNTIF($V$2:V149,"false")</f>
        <v>1</v>
      </c>
      <c r="X149" s="57"/>
    </row>
    <row r="150" spans="1:24" x14ac:dyDescent="0.45">
      <c r="A150" s="1" t="s">
        <v>168</v>
      </c>
      <c r="B150" s="1">
        <f t="shared" si="20"/>
        <v>6</v>
      </c>
      <c r="C150" s="1">
        <f t="shared" si="18"/>
        <v>12</v>
      </c>
      <c r="D150" s="1">
        <f t="shared" si="18"/>
        <v>17</v>
      </c>
      <c r="E150" s="1" t="e">
        <f t="shared" si="18"/>
        <v>#VALUE!</v>
      </c>
      <c r="F150" s="3">
        <f>IF(Table156[[#This Row],[seq]]&gt;=Table156[[#Totals],[seq]],'Data In'!B156,"")</f>
        <v>3871.68</v>
      </c>
      <c r="G150" s="4">
        <f>'Data In'!C156</f>
        <v>0.69</v>
      </c>
      <c r="H150" s="3" t="e">
        <f t="shared" si="21"/>
        <v>#VALUE!</v>
      </c>
      <c r="I150" s="1" t="b">
        <f t="shared" si="17"/>
        <v>0</v>
      </c>
      <c r="J150" s="1">
        <f>IF(Table156[[#This Row],[Rising Through Threshold]],Table156[[#This Row],[Start time]],J149)</f>
        <v>3296.16</v>
      </c>
      <c r="K150" s="1" t="str">
        <f>IF(AND(Table156[[#This Row],[Rising Through Threshold]],J149&gt;0),J150-J149,"")</f>
        <v/>
      </c>
      <c r="L150" s="1">
        <f>IF(Table156[[#This Row],[Voltage]]&gt;Threshold,1,0)</f>
        <v>0</v>
      </c>
      <c r="M150" s="1" t="b">
        <f>AND(Table156[[#This Row],[Last]]&gt;0,Table156[[#This Row],[Last]]&lt;MAX(Table156[Last]))</f>
        <v>1</v>
      </c>
      <c r="N150" s="41" t="str">
        <f>'Data In'!D156</f>
        <v>a</v>
      </c>
      <c r="O150" s="41" t="str">
        <f>'Data In'!E156</f>
        <v>a</v>
      </c>
      <c r="P150" s="41" t="e">
        <f t="shared" si="22"/>
        <v>#VALUE!</v>
      </c>
      <c r="Q150" s="41" t="e">
        <f t="shared" si="19"/>
        <v>#DIV/0!</v>
      </c>
      <c r="R150" s="41" t="e">
        <f>IF(Table156[[#This Row],[Rising Through Threshold2]],Table156[[#This Row],[Start time2]],R149)</f>
        <v>#DIV/0!</v>
      </c>
      <c r="S150" s="41" t="e">
        <f>IF(AND(Table156[[#This Row],[Rising Through Threshold2]],R149&gt;0),R150-R149,"")</f>
        <v>#DIV/0!</v>
      </c>
      <c r="T150" s="41" t="e">
        <f>IF(Table156[[#This Row],[Voltage2]]&gt;Threshold2,1,0)</f>
        <v>#DIV/0!</v>
      </c>
      <c r="U150" s="41" t="e">
        <f>AND(Table156[[#This Row],[Last2]]&gt;0,Table156[[#This Row],[Last2]]&lt;MAX(Table156[Last2]))</f>
        <v>#DIV/0!</v>
      </c>
      <c r="V150" s="41" t="b">
        <f>OR('Data In'!B156&gt;'Data In'!B155)</f>
        <v>1</v>
      </c>
      <c r="W150" s="41">
        <f>COUNTIF($V$2:V150,"false")</f>
        <v>1</v>
      </c>
      <c r="X150" s="57"/>
    </row>
    <row r="151" spans="1:24" x14ac:dyDescent="0.45">
      <c r="A151" s="1" t="s">
        <v>169</v>
      </c>
      <c r="B151" s="1">
        <f t="shared" si="20"/>
        <v>6</v>
      </c>
      <c r="C151" s="1">
        <f t="shared" si="18"/>
        <v>12</v>
      </c>
      <c r="D151" s="1">
        <f t="shared" si="18"/>
        <v>17</v>
      </c>
      <c r="E151" s="1" t="e">
        <f t="shared" si="18"/>
        <v>#VALUE!</v>
      </c>
      <c r="F151" s="3">
        <f>IF(Table156[[#This Row],[seq]]&gt;=Table156[[#Totals],[seq]],'Data In'!B157,"")</f>
        <v>3897.84</v>
      </c>
      <c r="G151" s="4">
        <f>'Data In'!C157</f>
        <v>0.88</v>
      </c>
      <c r="H151" s="3" t="e">
        <f t="shared" si="21"/>
        <v>#VALUE!</v>
      </c>
      <c r="I151" s="1" t="b">
        <f t="shared" si="17"/>
        <v>0</v>
      </c>
      <c r="J151" s="1">
        <f>IF(Table156[[#This Row],[Rising Through Threshold]],Table156[[#This Row],[Start time]],J150)</f>
        <v>3296.16</v>
      </c>
      <c r="K151" s="1" t="str">
        <f>IF(AND(Table156[[#This Row],[Rising Through Threshold]],J150&gt;0),J151-J150,"")</f>
        <v/>
      </c>
      <c r="L151" s="1">
        <f>IF(Table156[[#This Row],[Voltage]]&gt;Threshold,1,0)</f>
        <v>0</v>
      </c>
      <c r="M151" s="1" t="b">
        <f>AND(Table156[[#This Row],[Last]]&gt;0,Table156[[#This Row],[Last]]&lt;MAX(Table156[Last]))</f>
        <v>1</v>
      </c>
      <c r="N151" s="41" t="str">
        <f>'Data In'!D157</f>
        <v>a</v>
      </c>
      <c r="O151" s="41" t="str">
        <f>'Data In'!E157</f>
        <v>a</v>
      </c>
      <c r="P151" s="41" t="e">
        <f t="shared" si="22"/>
        <v>#VALUE!</v>
      </c>
      <c r="Q151" s="41" t="e">
        <f t="shared" si="19"/>
        <v>#DIV/0!</v>
      </c>
      <c r="R151" s="41" t="e">
        <f>IF(Table156[[#This Row],[Rising Through Threshold2]],Table156[[#This Row],[Start time2]],R150)</f>
        <v>#DIV/0!</v>
      </c>
      <c r="S151" s="41" t="e">
        <f>IF(AND(Table156[[#This Row],[Rising Through Threshold2]],R150&gt;0),R151-R150,"")</f>
        <v>#DIV/0!</v>
      </c>
      <c r="T151" s="41" t="e">
        <f>IF(Table156[[#This Row],[Voltage2]]&gt;Threshold2,1,0)</f>
        <v>#DIV/0!</v>
      </c>
      <c r="U151" s="41" t="e">
        <f>AND(Table156[[#This Row],[Last2]]&gt;0,Table156[[#This Row],[Last2]]&lt;MAX(Table156[Last2]))</f>
        <v>#DIV/0!</v>
      </c>
      <c r="V151" s="41" t="b">
        <f>OR('Data In'!B157&gt;'Data In'!B156)</f>
        <v>1</v>
      </c>
      <c r="W151" s="41">
        <f>COUNTIF($V$2:V151,"false")</f>
        <v>1</v>
      </c>
      <c r="X151" s="57"/>
    </row>
    <row r="152" spans="1:24" x14ac:dyDescent="0.45">
      <c r="A152" s="1" t="s">
        <v>170</v>
      </c>
      <c r="B152" s="1">
        <f t="shared" si="20"/>
        <v>6</v>
      </c>
      <c r="C152" s="1">
        <f t="shared" si="18"/>
        <v>12</v>
      </c>
      <c r="D152" s="1">
        <f t="shared" si="18"/>
        <v>17</v>
      </c>
      <c r="E152" s="1" t="e">
        <f t="shared" si="18"/>
        <v>#VALUE!</v>
      </c>
      <c r="F152" s="3">
        <f>IF(Table156[[#This Row],[seq]]&gt;=Table156[[#Totals],[seq]],'Data In'!B158,"")</f>
        <v>3924</v>
      </c>
      <c r="G152" s="4">
        <f>'Data In'!C158</f>
        <v>1.1399999999999999</v>
      </c>
      <c r="H152" s="3" t="e">
        <f t="shared" si="21"/>
        <v>#VALUE!</v>
      </c>
      <c r="I152" s="1" t="b">
        <f t="shared" si="17"/>
        <v>0</v>
      </c>
      <c r="J152" s="1">
        <f>IF(Table156[[#This Row],[Rising Through Threshold]],Table156[[#This Row],[Start time]],J151)</f>
        <v>3296.16</v>
      </c>
      <c r="K152" s="1" t="str">
        <f>IF(AND(Table156[[#This Row],[Rising Through Threshold]],J151&gt;0),J152-J151,"")</f>
        <v/>
      </c>
      <c r="L152" s="1">
        <f>IF(Table156[[#This Row],[Voltage]]&gt;Threshold,1,0)</f>
        <v>0</v>
      </c>
      <c r="M152" s="1" t="b">
        <f>AND(Table156[[#This Row],[Last]]&gt;0,Table156[[#This Row],[Last]]&lt;MAX(Table156[Last]))</f>
        <v>1</v>
      </c>
      <c r="N152" s="41" t="str">
        <f>'Data In'!D158</f>
        <v>a</v>
      </c>
      <c r="O152" s="41" t="str">
        <f>'Data In'!E158</f>
        <v>a</v>
      </c>
      <c r="P152" s="41" t="e">
        <f t="shared" si="22"/>
        <v>#VALUE!</v>
      </c>
      <c r="Q152" s="41" t="e">
        <f t="shared" si="19"/>
        <v>#DIV/0!</v>
      </c>
      <c r="R152" s="41" t="e">
        <f>IF(Table156[[#This Row],[Rising Through Threshold2]],Table156[[#This Row],[Start time2]],R151)</f>
        <v>#DIV/0!</v>
      </c>
      <c r="S152" s="41" t="e">
        <f>IF(AND(Table156[[#This Row],[Rising Through Threshold2]],R151&gt;0),R152-R151,"")</f>
        <v>#DIV/0!</v>
      </c>
      <c r="T152" s="41" t="e">
        <f>IF(Table156[[#This Row],[Voltage2]]&gt;Threshold2,1,0)</f>
        <v>#DIV/0!</v>
      </c>
      <c r="U152" s="41" t="e">
        <f>AND(Table156[[#This Row],[Last2]]&gt;0,Table156[[#This Row],[Last2]]&lt;MAX(Table156[Last2]))</f>
        <v>#DIV/0!</v>
      </c>
      <c r="V152" s="41" t="b">
        <f>OR('Data In'!B158&gt;'Data In'!B157)</f>
        <v>1</v>
      </c>
      <c r="W152" s="41">
        <f>COUNTIF($V$2:V152,"false")</f>
        <v>1</v>
      </c>
      <c r="X152" s="57"/>
    </row>
    <row r="153" spans="1:24" x14ac:dyDescent="0.45">
      <c r="A153" s="1" t="s">
        <v>171</v>
      </c>
      <c r="B153" s="1">
        <f t="shared" si="20"/>
        <v>6</v>
      </c>
      <c r="C153" s="1">
        <f t="shared" si="18"/>
        <v>12</v>
      </c>
      <c r="D153" s="1">
        <f t="shared" si="18"/>
        <v>17</v>
      </c>
      <c r="E153" s="1" t="e">
        <f t="shared" si="18"/>
        <v>#VALUE!</v>
      </c>
      <c r="F153" s="3">
        <f>IF(Table156[[#This Row],[seq]]&gt;=Table156[[#Totals],[seq]],'Data In'!B159,"")</f>
        <v>3950.16</v>
      </c>
      <c r="G153" s="4">
        <f>'Data In'!C159</f>
        <v>1.41</v>
      </c>
      <c r="H153" s="3" t="e">
        <f t="shared" si="21"/>
        <v>#VALUE!</v>
      </c>
      <c r="I153" s="1" t="b">
        <f t="shared" si="17"/>
        <v>0</v>
      </c>
      <c r="J153" s="1">
        <f>IF(Table156[[#This Row],[Rising Through Threshold]],Table156[[#This Row],[Start time]],J152)</f>
        <v>3296.16</v>
      </c>
      <c r="K153" s="1" t="str">
        <f>IF(AND(Table156[[#This Row],[Rising Through Threshold]],J152&gt;0),J153-J152,"")</f>
        <v/>
      </c>
      <c r="L153" s="1">
        <f>IF(Table156[[#This Row],[Voltage]]&gt;Threshold,1,0)</f>
        <v>0</v>
      </c>
      <c r="M153" s="1" t="b">
        <f>AND(Table156[[#This Row],[Last]]&gt;0,Table156[[#This Row],[Last]]&lt;MAX(Table156[Last]))</f>
        <v>1</v>
      </c>
      <c r="N153" s="41" t="str">
        <f>'Data In'!D159</f>
        <v>a</v>
      </c>
      <c r="O153" s="41" t="str">
        <f>'Data In'!E159</f>
        <v>a</v>
      </c>
      <c r="P153" s="41" t="e">
        <f t="shared" si="22"/>
        <v>#VALUE!</v>
      </c>
      <c r="Q153" s="41" t="e">
        <f t="shared" si="19"/>
        <v>#DIV/0!</v>
      </c>
      <c r="R153" s="41" t="e">
        <f>IF(Table156[[#This Row],[Rising Through Threshold2]],Table156[[#This Row],[Start time2]],R152)</f>
        <v>#DIV/0!</v>
      </c>
      <c r="S153" s="41" t="e">
        <f>IF(AND(Table156[[#This Row],[Rising Through Threshold2]],R152&gt;0),R153-R152,"")</f>
        <v>#DIV/0!</v>
      </c>
      <c r="T153" s="41" t="e">
        <f>IF(Table156[[#This Row],[Voltage2]]&gt;Threshold2,1,0)</f>
        <v>#DIV/0!</v>
      </c>
      <c r="U153" s="41" t="e">
        <f>AND(Table156[[#This Row],[Last2]]&gt;0,Table156[[#This Row],[Last2]]&lt;MAX(Table156[Last2]))</f>
        <v>#DIV/0!</v>
      </c>
      <c r="V153" s="41" t="b">
        <f>OR('Data In'!B159&gt;'Data In'!B158)</f>
        <v>1</v>
      </c>
      <c r="W153" s="41">
        <f>COUNTIF($V$2:V153,"false")</f>
        <v>1</v>
      </c>
      <c r="X153" s="57"/>
    </row>
    <row r="154" spans="1:24" x14ac:dyDescent="0.45">
      <c r="A154" s="1" t="s">
        <v>172</v>
      </c>
      <c r="B154" s="1">
        <f t="shared" si="20"/>
        <v>6</v>
      </c>
      <c r="C154" s="1">
        <f t="shared" si="18"/>
        <v>12</v>
      </c>
      <c r="D154" s="1">
        <f t="shared" si="18"/>
        <v>17</v>
      </c>
      <c r="E154" s="1" t="e">
        <f t="shared" si="18"/>
        <v>#VALUE!</v>
      </c>
      <c r="F154" s="3">
        <f>IF(Table156[[#This Row],[seq]]&gt;=Table156[[#Totals],[seq]],'Data In'!B160,"")</f>
        <v>3976.32</v>
      </c>
      <c r="G154" s="4">
        <f>'Data In'!C160</f>
        <v>1.69</v>
      </c>
      <c r="H154" s="3" t="e">
        <f t="shared" si="21"/>
        <v>#VALUE!</v>
      </c>
      <c r="I154" s="1" t="b">
        <f t="shared" si="17"/>
        <v>0</v>
      </c>
      <c r="J154" s="1">
        <f>IF(Table156[[#This Row],[Rising Through Threshold]],Table156[[#This Row],[Start time]],J153)</f>
        <v>3296.16</v>
      </c>
      <c r="K154" s="1" t="str">
        <f>IF(AND(Table156[[#This Row],[Rising Through Threshold]],J153&gt;0),J154-J153,"")</f>
        <v/>
      </c>
      <c r="L154" s="1">
        <f>IF(Table156[[#This Row],[Voltage]]&gt;Threshold,1,0)</f>
        <v>0</v>
      </c>
      <c r="M154" s="1" t="b">
        <f>AND(Table156[[#This Row],[Last]]&gt;0,Table156[[#This Row],[Last]]&lt;MAX(Table156[Last]))</f>
        <v>1</v>
      </c>
      <c r="N154" s="41" t="str">
        <f>'Data In'!D160</f>
        <v>a</v>
      </c>
      <c r="O154" s="41" t="str">
        <f>'Data In'!E160</f>
        <v>a</v>
      </c>
      <c r="P154" s="41" t="e">
        <f t="shared" si="22"/>
        <v>#VALUE!</v>
      </c>
      <c r="Q154" s="41" t="e">
        <f t="shared" si="19"/>
        <v>#DIV/0!</v>
      </c>
      <c r="R154" s="41" t="e">
        <f>IF(Table156[[#This Row],[Rising Through Threshold2]],Table156[[#This Row],[Start time2]],R153)</f>
        <v>#DIV/0!</v>
      </c>
      <c r="S154" s="41" t="e">
        <f>IF(AND(Table156[[#This Row],[Rising Through Threshold2]],R153&gt;0),R154-R153,"")</f>
        <v>#DIV/0!</v>
      </c>
      <c r="T154" s="41" t="e">
        <f>IF(Table156[[#This Row],[Voltage2]]&gt;Threshold2,1,0)</f>
        <v>#DIV/0!</v>
      </c>
      <c r="U154" s="41" t="e">
        <f>AND(Table156[[#This Row],[Last2]]&gt;0,Table156[[#This Row],[Last2]]&lt;MAX(Table156[Last2]))</f>
        <v>#DIV/0!</v>
      </c>
      <c r="V154" s="41" t="b">
        <f>OR('Data In'!B160&gt;'Data In'!B159)</f>
        <v>1</v>
      </c>
      <c r="W154" s="41">
        <f>COUNTIF($V$2:V154,"false")</f>
        <v>1</v>
      </c>
      <c r="X154" s="57"/>
    </row>
    <row r="155" spans="1:24" x14ac:dyDescent="0.45">
      <c r="A155" s="1" t="s">
        <v>173</v>
      </c>
      <c r="B155" s="1">
        <f t="shared" si="20"/>
        <v>6</v>
      </c>
      <c r="C155" s="1">
        <f t="shared" si="18"/>
        <v>12</v>
      </c>
      <c r="D155" s="1">
        <f t="shared" si="18"/>
        <v>17</v>
      </c>
      <c r="E155" s="1" t="e">
        <f t="shared" si="18"/>
        <v>#VALUE!</v>
      </c>
      <c r="F155" s="3">
        <f>IF(Table156[[#This Row],[seq]]&gt;=Table156[[#Totals],[seq]],'Data In'!B161,"")</f>
        <v>4002.48</v>
      </c>
      <c r="G155" s="4">
        <f>'Data In'!C161</f>
        <v>1.94</v>
      </c>
      <c r="H155" s="3" t="e">
        <f t="shared" si="21"/>
        <v>#VALUE!</v>
      </c>
      <c r="I155" s="1" t="b">
        <f t="shared" si="17"/>
        <v>0</v>
      </c>
      <c r="J155" s="1">
        <f>IF(Table156[[#This Row],[Rising Through Threshold]],Table156[[#This Row],[Start time]],J154)</f>
        <v>3296.16</v>
      </c>
      <c r="K155" s="1" t="str">
        <f>IF(AND(Table156[[#This Row],[Rising Through Threshold]],J154&gt;0),J155-J154,"")</f>
        <v/>
      </c>
      <c r="L155" s="1">
        <f>IF(Table156[[#This Row],[Voltage]]&gt;Threshold,1,0)</f>
        <v>0</v>
      </c>
      <c r="M155" s="1" t="b">
        <f>AND(Table156[[#This Row],[Last]]&gt;0,Table156[[#This Row],[Last]]&lt;MAX(Table156[Last]))</f>
        <v>1</v>
      </c>
      <c r="N155" s="41" t="str">
        <f>'Data In'!D161</f>
        <v>a</v>
      </c>
      <c r="O155" s="41" t="str">
        <f>'Data In'!E161</f>
        <v>a</v>
      </c>
      <c r="P155" s="41" t="e">
        <f t="shared" si="22"/>
        <v>#VALUE!</v>
      </c>
      <c r="Q155" s="41" t="e">
        <f t="shared" si="19"/>
        <v>#DIV/0!</v>
      </c>
      <c r="R155" s="41" t="e">
        <f>IF(Table156[[#This Row],[Rising Through Threshold2]],Table156[[#This Row],[Start time2]],R154)</f>
        <v>#DIV/0!</v>
      </c>
      <c r="S155" s="41" t="e">
        <f>IF(AND(Table156[[#This Row],[Rising Through Threshold2]],R154&gt;0),R155-R154,"")</f>
        <v>#DIV/0!</v>
      </c>
      <c r="T155" s="41" t="e">
        <f>IF(Table156[[#This Row],[Voltage2]]&gt;Threshold2,1,0)</f>
        <v>#DIV/0!</v>
      </c>
      <c r="U155" s="41" t="e">
        <f>AND(Table156[[#This Row],[Last2]]&gt;0,Table156[[#This Row],[Last2]]&lt;MAX(Table156[Last2]))</f>
        <v>#DIV/0!</v>
      </c>
      <c r="V155" s="41" t="b">
        <f>OR('Data In'!B161&gt;'Data In'!B160)</f>
        <v>1</v>
      </c>
      <c r="W155" s="41">
        <f>COUNTIF($V$2:V155,"false")</f>
        <v>1</v>
      </c>
      <c r="X155" s="57"/>
    </row>
    <row r="156" spans="1:24" x14ac:dyDescent="0.45">
      <c r="A156" s="1" t="s">
        <v>174</v>
      </c>
      <c r="B156" s="1">
        <f t="shared" si="20"/>
        <v>6</v>
      </c>
      <c r="C156" s="1">
        <f t="shared" si="18"/>
        <v>12</v>
      </c>
      <c r="D156" s="1">
        <f t="shared" si="18"/>
        <v>17</v>
      </c>
      <c r="E156" s="1" t="e">
        <f t="shared" si="18"/>
        <v>#VALUE!</v>
      </c>
      <c r="F156" s="3">
        <f>IF(Table156[[#This Row],[seq]]&gt;=Table156[[#Totals],[seq]],'Data In'!B162,"")</f>
        <v>4028.64</v>
      </c>
      <c r="G156" s="4">
        <f>'Data In'!C162</f>
        <v>2.1800000000000002</v>
      </c>
      <c r="H156" s="3" t="e">
        <f t="shared" si="21"/>
        <v>#VALUE!</v>
      </c>
      <c r="I156" s="1" t="b">
        <f t="shared" si="17"/>
        <v>0</v>
      </c>
      <c r="J156" s="1">
        <f>IF(Table156[[#This Row],[Rising Through Threshold]],Table156[[#This Row],[Start time]],J155)</f>
        <v>3296.16</v>
      </c>
      <c r="K156" s="1" t="str">
        <f>IF(AND(Table156[[#This Row],[Rising Through Threshold]],J155&gt;0),J156-J155,"")</f>
        <v/>
      </c>
      <c r="L156" s="1">
        <f>IF(Table156[[#This Row],[Voltage]]&gt;Threshold,1,0)</f>
        <v>0</v>
      </c>
      <c r="M156" s="1" t="b">
        <f>AND(Table156[[#This Row],[Last]]&gt;0,Table156[[#This Row],[Last]]&lt;MAX(Table156[Last]))</f>
        <v>1</v>
      </c>
      <c r="N156" s="41" t="str">
        <f>'Data In'!D162</f>
        <v>a</v>
      </c>
      <c r="O156" s="41" t="str">
        <f>'Data In'!E162</f>
        <v>a</v>
      </c>
      <c r="P156" s="41" t="e">
        <f t="shared" si="22"/>
        <v>#VALUE!</v>
      </c>
      <c r="Q156" s="41" t="e">
        <f t="shared" si="19"/>
        <v>#DIV/0!</v>
      </c>
      <c r="R156" s="41" t="e">
        <f>IF(Table156[[#This Row],[Rising Through Threshold2]],Table156[[#This Row],[Start time2]],R155)</f>
        <v>#DIV/0!</v>
      </c>
      <c r="S156" s="41" t="e">
        <f>IF(AND(Table156[[#This Row],[Rising Through Threshold2]],R155&gt;0),R156-R155,"")</f>
        <v>#DIV/0!</v>
      </c>
      <c r="T156" s="41" t="e">
        <f>IF(Table156[[#This Row],[Voltage2]]&gt;Threshold2,1,0)</f>
        <v>#DIV/0!</v>
      </c>
      <c r="U156" s="41" t="e">
        <f>AND(Table156[[#This Row],[Last2]]&gt;0,Table156[[#This Row],[Last2]]&lt;MAX(Table156[Last2]))</f>
        <v>#DIV/0!</v>
      </c>
      <c r="V156" s="41" t="b">
        <f>OR('Data In'!B162&gt;'Data In'!B161)</f>
        <v>1</v>
      </c>
      <c r="W156" s="41">
        <f>COUNTIF($V$2:V156,"false")</f>
        <v>1</v>
      </c>
      <c r="X156" s="57"/>
    </row>
    <row r="157" spans="1:24" x14ac:dyDescent="0.45">
      <c r="A157" s="1" t="s">
        <v>175</v>
      </c>
      <c r="B157" s="1">
        <f t="shared" si="20"/>
        <v>6</v>
      </c>
      <c r="C157" s="1">
        <f t="shared" si="18"/>
        <v>12</v>
      </c>
      <c r="D157" s="1">
        <f t="shared" si="18"/>
        <v>17</v>
      </c>
      <c r="E157" s="1" t="e">
        <f t="shared" si="18"/>
        <v>#VALUE!</v>
      </c>
      <c r="F157" s="3">
        <f>IF(Table156[[#This Row],[seq]]&gt;=Table156[[#Totals],[seq]],'Data In'!B163,"")</f>
        <v>4054.8</v>
      </c>
      <c r="G157" s="4">
        <f>'Data In'!C163</f>
        <v>2.39</v>
      </c>
      <c r="H157" s="3" t="e">
        <f t="shared" si="21"/>
        <v>#VALUE!</v>
      </c>
      <c r="I157" s="1" t="b">
        <f t="shared" si="17"/>
        <v>1</v>
      </c>
      <c r="J157" s="1">
        <f>IF(Table156[[#This Row],[Rising Through Threshold]],Table156[[#This Row],[Start time]],J156)</f>
        <v>4054.8</v>
      </c>
      <c r="K157" s="1">
        <f>IF(AND(Table156[[#This Row],[Rising Through Threshold]],J156&gt;0),J157-J156,"")</f>
        <v>758.64000000000033</v>
      </c>
      <c r="L157" s="1">
        <f>IF(Table156[[#This Row],[Voltage]]&gt;Threshold,1,0)</f>
        <v>1</v>
      </c>
      <c r="M157" s="1" t="b">
        <f>AND(Table156[[#This Row],[Last]]&gt;0,Table156[[#This Row],[Last]]&lt;MAX(Table156[Last]))</f>
        <v>1</v>
      </c>
      <c r="N157" s="41" t="str">
        <f>'Data In'!D163</f>
        <v>a</v>
      </c>
      <c r="O157" s="41" t="str">
        <f>'Data In'!E163</f>
        <v>a</v>
      </c>
      <c r="P157" s="41">
        <f t="shared" si="22"/>
        <v>0</v>
      </c>
      <c r="Q157" s="41" t="e">
        <f t="shared" si="19"/>
        <v>#DIV/0!</v>
      </c>
      <c r="R157" s="41" t="e">
        <f>IF(Table156[[#This Row],[Rising Through Threshold2]],Table156[[#This Row],[Start time2]],R156)</f>
        <v>#DIV/0!</v>
      </c>
      <c r="S157" s="41" t="e">
        <f>IF(AND(Table156[[#This Row],[Rising Through Threshold2]],R156&gt;0),R157-R156,"")</f>
        <v>#DIV/0!</v>
      </c>
      <c r="T157" s="41" t="e">
        <f>IF(Table156[[#This Row],[Voltage2]]&gt;Threshold2,1,0)</f>
        <v>#DIV/0!</v>
      </c>
      <c r="U157" s="41" t="e">
        <f>AND(Table156[[#This Row],[Last2]]&gt;0,Table156[[#This Row],[Last2]]&lt;MAX(Table156[Last2]))</f>
        <v>#DIV/0!</v>
      </c>
      <c r="V157" s="41" t="b">
        <f>OR('Data In'!B163&gt;'Data In'!B162)</f>
        <v>1</v>
      </c>
      <c r="W157" s="41">
        <f>COUNTIF($V$2:V157,"false")</f>
        <v>1</v>
      </c>
      <c r="X157" s="57"/>
    </row>
    <row r="158" spans="1:24" x14ac:dyDescent="0.45">
      <c r="A158" s="1" t="s">
        <v>176</v>
      </c>
      <c r="B158" s="1">
        <f t="shared" si="20"/>
        <v>6</v>
      </c>
      <c r="C158" s="1">
        <f t="shared" si="18"/>
        <v>12</v>
      </c>
      <c r="D158" s="1">
        <f t="shared" si="18"/>
        <v>17</v>
      </c>
      <c r="E158" s="1" t="e">
        <f t="shared" si="18"/>
        <v>#VALUE!</v>
      </c>
      <c r="F158" s="3">
        <f>IF(Table156[[#This Row],[seq]]&gt;=Table156[[#Totals],[seq]],'Data In'!B164,"")</f>
        <v>4080.96</v>
      </c>
      <c r="G158" s="4">
        <f>'Data In'!C164</f>
        <v>2.59</v>
      </c>
      <c r="H158" s="3" t="e">
        <f t="shared" si="21"/>
        <v>#VALUE!</v>
      </c>
      <c r="I158" s="1" t="b">
        <f t="shared" si="17"/>
        <v>0</v>
      </c>
      <c r="J158" s="1">
        <f>IF(Table156[[#This Row],[Rising Through Threshold]],Table156[[#This Row],[Start time]],J157)</f>
        <v>4054.8</v>
      </c>
      <c r="K158" s="1" t="str">
        <f>IF(AND(Table156[[#This Row],[Rising Through Threshold]],J157&gt;0),J158-J157,"")</f>
        <v/>
      </c>
      <c r="L158" s="1">
        <f>IF(Table156[[#This Row],[Voltage]]&gt;Threshold,1,0)</f>
        <v>1</v>
      </c>
      <c r="M158" s="1" t="b">
        <f>AND(Table156[[#This Row],[Last]]&gt;0,Table156[[#This Row],[Last]]&lt;MAX(Table156[Last]))</f>
        <v>1</v>
      </c>
      <c r="N158" s="41" t="str">
        <f>'Data In'!D164</f>
        <v>a</v>
      </c>
      <c r="O158" s="41" t="str">
        <f>'Data In'!E164</f>
        <v>a</v>
      </c>
      <c r="P158" s="41" t="e">
        <f t="shared" si="22"/>
        <v>#VALUE!</v>
      </c>
      <c r="Q158" s="41" t="e">
        <f t="shared" si="19"/>
        <v>#DIV/0!</v>
      </c>
      <c r="R158" s="41" t="e">
        <f>IF(Table156[[#This Row],[Rising Through Threshold2]],Table156[[#This Row],[Start time2]],R157)</f>
        <v>#DIV/0!</v>
      </c>
      <c r="S158" s="41" t="e">
        <f>IF(AND(Table156[[#This Row],[Rising Through Threshold2]],R157&gt;0),R158-R157,"")</f>
        <v>#DIV/0!</v>
      </c>
      <c r="T158" s="41" t="e">
        <f>IF(Table156[[#This Row],[Voltage2]]&gt;Threshold2,1,0)</f>
        <v>#DIV/0!</v>
      </c>
      <c r="U158" s="41" t="e">
        <f>AND(Table156[[#This Row],[Last2]]&gt;0,Table156[[#This Row],[Last2]]&lt;MAX(Table156[Last2]))</f>
        <v>#DIV/0!</v>
      </c>
      <c r="V158" s="41" t="b">
        <f>OR('Data In'!B164&gt;'Data In'!B163)</f>
        <v>1</v>
      </c>
      <c r="W158" s="41">
        <f>COUNTIF($V$2:V158,"false")</f>
        <v>1</v>
      </c>
      <c r="X158" s="57"/>
    </row>
    <row r="159" spans="1:24" x14ac:dyDescent="0.45">
      <c r="A159" s="1" t="s">
        <v>177</v>
      </c>
      <c r="B159" s="1">
        <f t="shared" si="20"/>
        <v>6</v>
      </c>
      <c r="C159" s="1">
        <f t="shared" si="18"/>
        <v>12</v>
      </c>
      <c r="D159" s="1">
        <f t="shared" si="18"/>
        <v>17</v>
      </c>
      <c r="E159" s="1" t="e">
        <f t="shared" si="18"/>
        <v>#VALUE!</v>
      </c>
      <c r="F159" s="3">
        <f>IF(Table156[[#This Row],[seq]]&gt;=Table156[[#Totals],[seq]],'Data In'!B165,"")</f>
        <v>4107.12</v>
      </c>
      <c r="G159" s="4">
        <f>'Data In'!C165</f>
        <v>2.78</v>
      </c>
      <c r="H159" s="3" t="e">
        <f t="shared" si="21"/>
        <v>#VALUE!</v>
      </c>
      <c r="I159" s="1" t="b">
        <f t="shared" si="17"/>
        <v>0</v>
      </c>
      <c r="J159" s="1">
        <f>IF(Table156[[#This Row],[Rising Through Threshold]],Table156[[#This Row],[Start time]],J158)</f>
        <v>4054.8</v>
      </c>
      <c r="K159" s="1" t="str">
        <f>IF(AND(Table156[[#This Row],[Rising Through Threshold]],J158&gt;0),J159-J158,"")</f>
        <v/>
      </c>
      <c r="L159" s="1">
        <f>IF(Table156[[#This Row],[Voltage]]&gt;Threshold,1,0)</f>
        <v>1</v>
      </c>
      <c r="M159" s="1" t="b">
        <f>AND(Table156[[#This Row],[Last]]&gt;0,Table156[[#This Row],[Last]]&lt;MAX(Table156[Last]))</f>
        <v>1</v>
      </c>
      <c r="N159" s="41" t="str">
        <f>'Data In'!D165</f>
        <v>a</v>
      </c>
      <c r="O159" s="41" t="str">
        <f>'Data In'!E165</f>
        <v>a</v>
      </c>
      <c r="P159" s="41" t="e">
        <f t="shared" si="22"/>
        <v>#VALUE!</v>
      </c>
      <c r="Q159" s="41" t="e">
        <f t="shared" si="19"/>
        <v>#DIV/0!</v>
      </c>
      <c r="R159" s="41" t="e">
        <f>IF(Table156[[#This Row],[Rising Through Threshold2]],Table156[[#This Row],[Start time2]],R158)</f>
        <v>#DIV/0!</v>
      </c>
      <c r="S159" s="41" t="e">
        <f>IF(AND(Table156[[#This Row],[Rising Through Threshold2]],R158&gt;0),R159-R158,"")</f>
        <v>#DIV/0!</v>
      </c>
      <c r="T159" s="41" t="e">
        <f>IF(Table156[[#This Row],[Voltage2]]&gt;Threshold2,1,0)</f>
        <v>#DIV/0!</v>
      </c>
      <c r="U159" s="41" t="e">
        <f>AND(Table156[[#This Row],[Last2]]&gt;0,Table156[[#This Row],[Last2]]&lt;MAX(Table156[Last2]))</f>
        <v>#DIV/0!</v>
      </c>
      <c r="V159" s="41" t="b">
        <f>OR('Data In'!B165&gt;'Data In'!B164)</f>
        <v>1</v>
      </c>
      <c r="W159" s="41">
        <f>COUNTIF($V$2:V159,"false")</f>
        <v>1</v>
      </c>
      <c r="X159" s="57"/>
    </row>
    <row r="160" spans="1:24" x14ac:dyDescent="0.45">
      <c r="A160" s="1" t="s">
        <v>178</v>
      </c>
      <c r="B160" s="1">
        <f t="shared" si="20"/>
        <v>6</v>
      </c>
      <c r="C160" s="1">
        <f t="shared" si="18"/>
        <v>12</v>
      </c>
      <c r="D160" s="1">
        <f t="shared" si="18"/>
        <v>17</v>
      </c>
      <c r="E160" s="1" t="e">
        <f t="shared" si="18"/>
        <v>#VALUE!</v>
      </c>
      <c r="F160" s="3">
        <f>IF(Table156[[#This Row],[seq]]&gt;=Table156[[#Totals],[seq]],'Data In'!B166,"")</f>
        <v>4133.28</v>
      </c>
      <c r="G160" s="4">
        <f>'Data In'!C166</f>
        <v>2.94</v>
      </c>
      <c r="H160" s="3" t="e">
        <f t="shared" si="21"/>
        <v>#VALUE!</v>
      </c>
      <c r="I160" s="1" t="b">
        <f t="shared" si="17"/>
        <v>0</v>
      </c>
      <c r="J160" s="1">
        <f>IF(Table156[[#This Row],[Rising Through Threshold]],Table156[[#This Row],[Start time]],J159)</f>
        <v>4054.8</v>
      </c>
      <c r="K160" s="1" t="str">
        <f>IF(AND(Table156[[#This Row],[Rising Through Threshold]],J159&gt;0),J160-J159,"")</f>
        <v/>
      </c>
      <c r="L160" s="1">
        <f>IF(Table156[[#This Row],[Voltage]]&gt;Threshold,1,0)</f>
        <v>1</v>
      </c>
      <c r="M160" s="1" t="b">
        <f>AND(Table156[[#This Row],[Last]]&gt;0,Table156[[#This Row],[Last]]&lt;MAX(Table156[Last]))</f>
        <v>1</v>
      </c>
      <c r="N160" s="41" t="str">
        <f>'Data In'!D166</f>
        <v>a</v>
      </c>
      <c r="O160" s="41" t="str">
        <f>'Data In'!E166</f>
        <v>a</v>
      </c>
      <c r="P160" s="41" t="e">
        <f t="shared" si="22"/>
        <v>#VALUE!</v>
      </c>
      <c r="Q160" s="41" t="e">
        <f t="shared" si="19"/>
        <v>#DIV/0!</v>
      </c>
      <c r="R160" s="41" t="e">
        <f>IF(Table156[[#This Row],[Rising Through Threshold2]],Table156[[#This Row],[Start time2]],R159)</f>
        <v>#DIV/0!</v>
      </c>
      <c r="S160" s="41" t="e">
        <f>IF(AND(Table156[[#This Row],[Rising Through Threshold2]],R159&gt;0),R160-R159,"")</f>
        <v>#DIV/0!</v>
      </c>
      <c r="T160" s="41" t="e">
        <f>IF(Table156[[#This Row],[Voltage2]]&gt;Threshold2,1,0)</f>
        <v>#DIV/0!</v>
      </c>
      <c r="U160" s="41" t="e">
        <f>AND(Table156[[#This Row],[Last2]]&gt;0,Table156[[#This Row],[Last2]]&lt;MAX(Table156[Last2]))</f>
        <v>#DIV/0!</v>
      </c>
      <c r="V160" s="41" t="b">
        <f>OR('Data In'!B166&gt;'Data In'!B165)</f>
        <v>1</v>
      </c>
      <c r="W160" s="41">
        <f>COUNTIF($V$2:V160,"false")</f>
        <v>1</v>
      </c>
      <c r="X160" s="57"/>
    </row>
    <row r="161" spans="1:24" x14ac:dyDescent="0.45">
      <c r="A161" s="1" t="s">
        <v>179</v>
      </c>
      <c r="B161" s="1">
        <f t="shared" si="20"/>
        <v>6</v>
      </c>
      <c r="C161" s="1">
        <f t="shared" si="18"/>
        <v>12</v>
      </c>
      <c r="D161" s="1">
        <f t="shared" si="18"/>
        <v>17</v>
      </c>
      <c r="E161" s="1" t="e">
        <f t="shared" si="18"/>
        <v>#VALUE!</v>
      </c>
      <c r="F161" s="3">
        <f>IF(Table156[[#This Row],[seq]]&gt;=Table156[[#Totals],[seq]],'Data In'!B167,"")</f>
        <v>4159.4399999999996</v>
      </c>
      <c r="G161" s="4">
        <f>'Data In'!C167</f>
        <v>3.1</v>
      </c>
      <c r="H161" s="3" t="e">
        <f t="shared" si="21"/>
        <v>#VALUE!</v>
      </c>
      <c r="I161" s="1" t="b">
        <f t="shared" si="17"/>
        <v>0</v>
      </c>
      <c r="J161" s="1">
        <f>IF(Table156[[#This Row],[Rising Through Threshold]],Table156[[#This Row],[Start time]],J160)</f>
        <v>4054.8</v>
      </c>
      <c r="K161" s="1" t="str">
        <f>IF(AND(Table156[[#This Row],[Rising Through Threshold]],J160&gt;0),J161-J160,"")</f>
        <v/>
      </c>
      <c r="L161" s="1">
        <f>IF(Table156[[#This Row],[Voltage]]&gt;Threshold,1,0)</f>
        <v>1</v>
      </c>
      <c r="M161" s="1" t="b">
        <f>AND(Table156[[#This Row],[Last]]&gt;0,Table156[[#This Row],[Last]]&lt;MAX(Table156[Last]))</f>
        <v>1</v>
      </c>
      <c r="N161" s="41" t="str">
        <f>'Data In'!D167</f>
        <v>a</v>
      </c>
      <c r="O161" s="41" t="str">
        <f>'Data In'!E167</f>
        <v>a</v>
      </c>
      <c r="P161" s="41" t="e">
        <f t="shared" si="22"/>
        <v>#VALUE!</v>
      </c>
      <c r="Q161" s="41" t="e">
        <f t="shared" si="19"/>
        <v>#DIV/0!</v>
      </c>
      <c r="R161" s="41" t="e">
        <f>IF(Table156[[#This Row],[Rising Through Threshold2]],Table156[[#This Row],[Start time2]],R160)</f>
        <v>#DIV/0!</v>
      </c>
      <c r="S161" s="41" t="e">
        <f>IF(AND(Table156[[#This Row],[Rising Through Threshold2]],R160&gt;0),R161-R160,"")</f>
        <v>#DIV/0!</v>
      </c>
      <c r="T161" s="41" t="e">
        <f>IF(Table156[[#This Row],[Voltage2]]&gt;Threshold2,1,0)</f>
        <v>#DIV/0!</v>
      </c>
      <c r="U161" s="41" t="e">
        <f>AND(Table156[[#This Row],[Last2]]&gt;0,Table156[[#This Row],[Last2]]&lt;MAX(Table156[Last2]))</f>
        <v>#DIV/0!</v>
      </c>
      <c r="V161" s="41" t="b">
        <f>OR('Data In'!B167&gt;'Data In'!B166)</f>
        <v>1</v>
      </c>
      <c r="W161" s="41">
        <f>COUNTIF($V$2:V161,"false")</f>
        <v>1</v>
      </c>
      <c r="X161" s="57"/>
    </row>
    <row r="162" spans="1:24" x14ac:dyDescent="0.45">
      <c r="A162" s="1" t="s">
        <v>180</v>
      </c>
      <c r="B162" s="1">
        <f t="shared" si="20"/>
        <v>6</v>
      </c>
      <c r="C162" s="1">
        <f t="shared" si="18"/>
        <v>12</v>
      </c>
      <c r="D162" s="1">
        <f t="shared" si="18"/>
        <v>17</v>
      </c>
      <c r="E162" s="1" t="e">
        <f t="shared" si="18"/>
        <v>#VALUE!</v>
      </c>
      <c r="F162" s="3">
        <f>IF(Table156[[#This Row],[seq]]&gt;=Table156[[#Totals],[seq]],'Data In'!B168,"")</f>
        <v>4185.6000000000004</v>
      </c>
      <c r="G162" s="4">
        <f>'Data In'!C168</f>
        <v>3.24</v>
      </c>
      <c r="H162" s="3" t="e">
        <f t="shared" si="21"/>
        <v>#VALUE!</v>
      </c>
      <c r="I162" s="1" t="b">
        <f t="shared" si="17"/>
        <v>0</v>
      </c>
      <c r="J162" s="1">
        <f>IF(Table156[[#This Row],[Rising Through Threshold]],Table156[[#This Row],[Start time]],J161)</f>
        <v>4054.8</v>
      </c>
      <c r="K162" s="1" t="str">
        <f>IF(AND(Table156[[#This Row],[Rising Through Threshold]],J161&gt;0),J162-J161,"")</f>
        <v/>
      </c>
      <c r="L162" s="1">
        <f>IF(Table156[[#This Row],[Voltage]]&gt;Threshold,1,0)</f>
        <v>1</v>
      </c>
      <c r="M162" s="1" t="b">
        <f>AND(Table156[[#This Row],[Last]]&gt;0,Table156[[#This Row],[Last]]&lt;MAX(Table156[Last]))</f>
        <v>1</v>
      </c>
      <c r="N162" s="41" t="str">
        <f>'Data In'!D168</f>
        <v>a</v>
      </c>
      <c r="O162" s="41" t="str">
        <f>'Data In'!E168</f>
        <v>a</v>
      </c>
      <c r="P162" s="41" t="e">
        <f t="shared" si="22"/>
        <v>#VALUE!</v>
      </c>
      <c r="Q162" s="41" t="e">
        <f t="shared" ref="Q162:Q193" si="23">AND(O161&lt;Threshold2,O162&gt;Threshold2)</f>
        <v>#DIV/0!</v>
      </c>
      <c r="R162" s="41" t="e">
        <f>IF(Table156[[#This Row],[Rising Through Threshold2]],Table156[[#This Row],[Start time2]],R161)</f>
        <v>#DIV/0!</v>
      </c>
      <c r="S162" s="41" t="e">
        <f>IF(AND(Table156[[#This Row],[Rising Through Threshold2]],R161&gt;0),R162-R161,"")</f>
        <v>#DIV/0!</v>
      </c>
      <c r="T162" s="41" t="e">
        <f>IF(Table156[[#This Row],[Voltage2]]&gt;Threshold2,1,0)</f>
        <v>#DIV/0!</v>
      </c>
      <c r="U162" s="41" t="e">
        <f>AND(Table156[[#This Row],[Last2]]&gt;0,Table156[[#This Row],[Last2]]&lt;MAX(Table156[Last2]))</f>
        <v>#DIV/0!</v>
      </c>
      <c r="V162" s="41" t="b">
        <f>OR('Data In'!B168&gt;'Data In'!B167)</f>
        <v>1</v>
      </c>
      <c r="W162" s="41">
        <f>COUNTIF($V$2:V162,"false")</f>
        <v>1</v>
      </c>
      <c r="X162" s="57"/>
    </row>
    <row r="163" spans="1:24" x14ac:dyDescent="0.45">
      <c r="A163" s="1" t="s">
        <v>181</v>
      </c>
      <c r="B163" s="1">
        <f t="shared" si="20"/>
        <v>6</v>
      </c>
      <c r="C163" s="1">
        <f t="shared" si="18"/>
        <v>12</v>
      </c>
      <c r="D163" s="1">
        <f t="shared" si="18"/>
        <v>17</v>
      </c>
      <c r="E163" s="1" t="e">
        <f t="shared" si="18"/>
        <v>#VALUE!</v>
      </c>
      <c r="F163" s="3">
        <f>IF(Table156[[#This Row],[seq]]&gt;=Table156[[#Totals],[seq]],'Data In'!B169,"")</f>
        <v>4211.76</v>
      </c>
      <c r="G163" s="4">
        <f>'Data In'!C169</f>
        <v>3.37</v>
      </c>
      <c r="H163" s="3" t="e">
        <f t="shared" si="21"/>
        <v>#VALUE!</v>
      </c>
      <c r="I163" s="1" t="b">
        <f t="shared" si="17"/>
        <v>0</v>
      </c>
      <c r="J163" s="1">
        <f>IF(Table156[[#This Row],[Rising Through Threshold]],Table156[[#This Row],[Start time]],J162)</f>
        <v>4054.8</v>
      </c>
      <c r="K163" s="1" t="str">
        <f>IF(AND(Table156[[#This Row],[Rising Through Threshold]],J162&gt;0),J163-J162,"")</f>
        <v/>
      </c>
      <c r="L163" s="1">
        <f>IF(Table156[[#This Row],[Voltage]]&gt;Threshold,1,0)</f>
        <v>1</v>
      </c>
      <c r="M163" s="1" t="b">
        <f>AND(Table156[[#This Row],[Last]]&gt;0,Table156[[#This Row],[Last]]&lt;MAX(Table156[Last]))</f>
        <v>1</v>
      </c>
      <c r="N163" s="41" t="str">
        <f>'Data In'!D169</f>
        <v>a</v>
      </c>
      <c r="O163" s="41" t="str">
        <f>'Data In'!E169</f>
        <v>a</v>
      </c>
      <c r="P163" s="41" t="e">
        <f t="shared" si="22"/>
        <v>#VALUE!</v>
      </c>
      <c r="Q163" s="41" t="e">
        <f t="shared" si="23"/>
        <v>#DIV/0!</v>
      </c>
      <c r="R163" s="41" t="e">
        <f>IF(Table156[[#This Row],[Rising Through Threshold2]],Table156[[#This Row],[Start time2]],R162)</f>
        <v>#DIV/0!</v>
      </c>
      <c r="S163" s="41" t="e">
        <f>IF(AND(Table156[[#This Row],[Rising Through Threshold2]],R162&gt;0),R163-R162,"")</f>
        <v>#DIV/0!</v>
      </c>
      <c r="T163" s="41" t="e">
        <f>IF(Table156[[#This Row],[Voltage2]]&gt;Threshold2,1,0)</f>
        <v>#DIV/0!</v>
      </c>
      <c r="U163" s="41" t="e">
        <f>AND(Table156[[#This Row],[Last2]]&gt;0,Table156[[#This Row],[Last2]]&lt;MAX(Table156[Last2]))</f>
        <v>#DIV/0!</v>
      </c>
      <c r="V163" s="41" t="b">
        <f>OR('Data In'!B169&gt;'Data In'!B168)</f>
        <v>1</v>
      </c>
      <c r="W163" s="41">
        <f>COUNTIF($V$2:V163,"false")</f>
        <v>1</v>
      </c>
      <c r="X163" s="57"/>
    </row>
    <row r="164" spans="1:24" x14ac:dyDescent="0.45">
      <c r="A164" s="1" t="s">
        <v>182</v>
      </c>
      <c r="B164" s="1">
        <f t="shared" si="20"/>
        <v>6</v>
      </c>
      <c r="C164" s="1">
        <f t="shared" si="18"/>
        <v>12</v>
      </c>
      <c r="D164" s="1">
        <f t="shared" si="18"/>
        <v>17</v>
      </c>
      <c r="E164" s="1" t="e">
        <f t="shared" si="18"/>
        <v>#VALUE!</v>
      </c>
      <c r="F164" s="3">
        <f>IF(Table156[[#This Row],[seq]]&gt;=Table156[[#Totals],[seq]],'Data In'!B170,"")</f>
        <v>4237.92</v>
      </c>
      <c r="G164" s="4">
        <f>'Data In'!C170</f>
        <v>3.47</v>
      </c>
      <c r="H164" s="3" t="e">
        <f t="shared" si="21"/>
        <v>#VALUE!</v>
      </c>
      <c r="I164" s="1" t="b">
        <f t="shared" si="17"/>
        <v>0</v>
      </c>
      <c r="J164" s="1">
        <f>IF(Table156[[#This Row],[Rising Through Threshold]],Table156[[#This Row],[Start time]],J163)</f>
        <v>4054.8</v>
      </c>
      <c r="K164" s="1" t="str">
        <f>IF(AND(Table156[[#This Row],[Rising Through Threshold]],J163&gt;0),J164-J163,"")</f>
        <v/>
      </c>
      <c r="L164" s="1">
        <f>IF(Table156[[#This Row],[Voltage]]&gt;Threshold,1,0)</f>
        <v>1</v>
      </c>
      <c r="M164" s="1" t="b">
        <f>AND(Table156[[#This Row],[Last]]&gt;0,Table156[[#This Row],[Last]]&lt;MAX(Table156[Last]))</f>
        <v>1</v>
      </c>
      <c r="N164" s="41" t="str">
        <f>'Data In'!D170</f>
        <v>a</v>
      </c>
      <c r="O164" s="41" t="str">
        <f>'Data In'!E170</f>
        <v>a</v>
      </c>
      <c r="P164" s="41" t="e">
        <f t="shared" si="22"/>
        <v>#VALUE!</v>
      </c>
      <c r="Q164" s="41" t="e">
        <f t="shared" si="23"/>
        <v>#DIV/0!</v>
      </c>
      <c r="R164" s="41" t="e">
        <f>IF(Table156[[#This Row],[Rising Through Threshold2]],Table156[[#This Row],[Start time2]],R163)</f>
        <v>#DIV/0!</v>
      </c>
      <c r="S164" s="41" t="e">
        <f>IF(AND(Table156[[#This Row],[Rising Through Threshold2]],R163&gt;0),R164-R163,"")</f>
        <v>#DIV/0!</v>
      </c>
      <c r="T164" s="41" t="e">
        <f>IF(Table156[[#This Row],[Voltage2]]&gt;Threshold2,1,0)</f>
        <v>#DIV/0!</v>
      </c>
      <c r="U164" s="41" t="e">
        <f>AND(Table156[[#This Row],[Last2]]&gt;0,Table156[[#This Row],[Last2]]&lt;MAX(Table156[Last2]))</f>
        <v>#DIV/0!</v>
      </c>
      <c r="V164" s="41" t="b">
        <f>OR('Data In'!B170&gt;'Data In'!B169)</f>
        <v>1</v>
      </c>
      <c r="W164" s="41">
        <f>COUNTIF($V$2:V164,"false")</f>
        <v>1</v>
      </c>
      <c r="X164" s="57"/>
    </row>
    <row r="165" spans="1:24" x14ac:dyDescent="0.45">
      <c r="A165" s="1" t="s">
        <v>183</v>
      </c>
      <c r="B165" s="1">
        <f t="shared" si="20"/>
        <v>6</v>
      </c>
      <c r="C165" s="1">
        <f t="shared" si="18"/>
        <v>12</v>
      </c>
      <c r="D165" s="1">
        <f t="shared" si="18"/>
        <v>17</v>
      </c>
      <c r="E165" s="1" t="e">
        <f t="shared" si="18"/>
        <v>#VALUE!</v>
      </c>
      <c r="F165" s="3">
        <f>IF(Table156[[#This Row],[seq]]&gt;=Table156[[#Totals],[seq]],'Data In'!B171,"")</f>
        <v>4264.8</v>
      </c>
      <c r="G165" s="4">
        <f>'Data In'!C171</f>
        <v>3.57</v>
      </c>
      <c r="H165" s="3" t="e">
        <f t="shared" si="21"/>
        <v>#VALUE!</v>
      </c>
      <c r="I165" s="1" t="b">
        <f t="shared" si="17"/>
        <v>0</v>
      </c>
      <c r="J165" s="1">
        <f>IF(Table156[[#This Row],[Rising Through Threshold]],Table156[[#This Row],[Start time]],J164)</f>
        <v>4054.8</v>
      </c>
      <c r="K165" s="1" t="str">
        <f>IF(AND(Table156[[#This Row],[Rising Through Threshold]],J164&gt;0),J165-J164,"")</f>
        <v/>
      </c>
      <c r="L165" s="1">
        <f>IF(Table156[[#This Row],[Voltage]]&gt;Threshold,1,0)</f>
        <v>1</v>
      </c>
      <c r="M165" s="1" t="b">
        <f>AND(Table156[[#This Row],[Last]]&gt;0,Table156[[#This Row],[Last]]&lt;MAX(Table156[Last]))</f>
        <v>1</v>
      </c>
      <c r="N165" s="41" t="str">
        <f>'Data In'!D171</f>
        <v>a</v>
      </c>
      <c r="O165" s="41" t="str">
        <f>'Data In'!E171</f>
        <v>a</v>
      </c>
      <c r="P165" s="41" t="e">
        <f t="shared" si="22"/>
        <v>#VALUE!</v>
      </c>
      <c r="Q165" s="41" t="e">
        <f t="shared" si="23"/>
        <v>#DIV/0!</v>
      </c>
      <c r="R165" s="41" t="e">
        <f>IF(Table156[[#This Row],[Rising Through Threshold2]],Table156[[#This Row],[Start time2]],R164)</f>
        <v>#DIV/0!</v>
      </c>
      <c r="S165" s="41" t="e">
        <f>IF(AND(Table156[[#This Row],[Rising Through Threshold2]],R164&gt;0),R165-R164,"")</f>
        <v>#DIV/0!</v>
      </c>
      <c r="T165" s="41" t="e">
        <f>IF(Table156[[#This Row],[Voltage2]]&gt;Threshold2,1,0)</f>
        <v>#DIV/0!</v>
      </c>
      <c r="U165" s="41" t="e">
        <f>AND(Table156[[#This Row],[Last2]]&gt;0,Table156[[#This Row],[Last2]]&lt;MAX(Table156[Last2]))</f>
        <v>#DIV/0!</v>
      </c>
      <c r="V165" s="41" t="b">
        <f>OR('Data In'!B171&gt;'Data In'!B170)</f>
        <v>1</v>
      </c>
      <c r="W165" s="41">
        <f>COUNTIF($V$2:V165,"false")</f>
        <v>1</v>
      </c>
      <c r="X165" s="57"/>
    </row>
    <row r="166" spans="1:24" x14ac:dyDescent="0.45">
      <c r="A166" s="1" t="s">
        <v>184</v>
      </c>
      <c r="B166" s="1">
        <f t="shared" si="20"/>
        <v>6</v>
      </c>
      <c r="C166" s="1">
        <f t="shared" si="18"/>
        <v>12</v>
      </c>
      <c r="D166" s="1">
        <f t="shared" si="18"/>
        <v>17</v>
      </c>
      <c r="E166" s="1" t="e">
        <f t="shared" si="18"/>
        <v>#VALUE!</v>
      </c>
      <c r="F166" s="3">
        <f>IF(Table156[[#This Row],[seq]]&gt;=Table156[[#Totals],[seq]],'Data In'!B172,"")</f>
        <v>4290.24</v>
      </c>
      <c r="G166" s="4">
        <f>'Data In'!C172</f>
        <v>3.65</v>
      </c>
      <c r="H166" s="3" t="e">
        <f t="shared" si="21"/>
        <v>#VALUE!</v>
      </c>
      <c r="I166" s="1" t="b">
        <f t="shared" si="17"/>
        <v>0</v>
      </c>
      <c r="J166" s="1">
        <f>IF(Table156[[#This Row],[Rising Through Threshold]],Table156[[#This Row],[Start time]],J165)</f>
        <v>4054.8</v>
      </c>
      <c r="K166" s="1" t="str">
        <f>IF(AND(Table156[[#This Row],[Rising Through Threshold]],J165&gt;0),J166-J165,"")</f>
        <v/>
      </c>
      <c r="L166" s="1">
        <f>IF(Table156[[#This Row],[Voltage]]&gt;Threshold,1,0)</f>
        <v>1</v>
      </c>
      <c r="M166" s="1" t="b">
        <f>AND(Table156[[#This Row],[Last]]&gt;0,Table156[[#This Row],[Last]]&lt;MAX(Table156[Last]))</f>
        <v>1</v>
      </c>
      <c r="N166" s="41" t="str">
        <f>'Data In'!D172</f>
        <v>a</v>
      </c>
      <c r="O166" s="41" t="str">
        <f>'Data In'!E172</f>
        <v>a</v>
      </c>
      <c r="P166" s="41" t="e">
        <f t="shared" si="22"/>
        <v>#VALUE!</v>
      </c>
      <c r="Q166" s="41" t="e">
        <f t="shared" si="23"/>
        <v>#DIV/0!</v>
      </c>
      <c r="R166" s="41" t="e">
        <f>IF(Table156[[#This Row],[Rising Through Threshold2]],Table156[[#This Row],[Start time2]],R165)</f>
        <v>#DIV/0!</v>
      </c>
      <c r="S166" s="41" t="e">
        <f>IF(AND(Table156[[#This Row],[Rising Through Threshold2]],R165&gt;0),R166-R165,"")</f>
        <v>#DIV/0!</v>
      </c>
      <c r="T166" s="41" t="e">
        <f>IF(Table156[[#This Row],[Voltage2]]&gt;Threshold2,1,0)</f>
        <v>#DIV/0!</v>
      </c>
      <c r="U166" s="41" t="e">
        <f>AND(Table156[[#This Row],[Last2]]&gt;0,Table156[[#This Row],[Last2]]&lt;MAX(Table156[Last2]))</f>
        <v>#DIV/0!</v>
      </c>
      <c r="V166" s="41" t="b">
        <f>OR('Data In'!B172&gt;'Data In'!B171)</f>
        <v>1</v>
      </c>
      <c r="W166" s="41">
        <f>COUNTIF($V$2:V166,"false")</f>
        <v>1</v>
      </c>
      <c r="X166" s="57"/>
    </row>
    <row r="167" spans="1:24" x14ac:dyDescent="0.45">
      <c r="A167" s="1" t="s">
        <v>185</v>
      </c>
      <c r="B167" s="1">
        <f t="shared" si="20"/>
        <v>6</v>
      </c>
      <c r="C167" s="1">
        <f t="shared" si="18"/>
        <v>12</v>
      </c>
      <c r="D167" s="1">
        <f t="shared" si="18"/>
        <v>17</v>
      </c>
      <c r="E167" s="1" t="e">
        <f t="shared" si="18"/>
        <v>#VALUE!</v>
      </c>
      <c r="F167" s="3">
        <f>IF(Table156[[#This Row],[seq]]&gt;=Table156[[#Totals],[seq]],'Data In'!B173,"")</f>
        <v>4316.3999999999996</v>
      </c>
      <c r="G167" s="4">
        <f>'Data In'!C173</f>
        <v>3.71</v>
      </c>
      <c r="H167" s="3" t="e">
        <f t="shared" si="21"/>
        <v>#VALUE!</v>
      </c>
      <c r="I167" s="1" t="b">
        <f t="shared" si="17"/>
        <v>0</v>
      </c>
      <c r="J167" s="1">
        <f>IF(Table156[[#This Row],[Rising Through Threshold]],Table156[[#This Row],[Start time]],J166)</f>
        <v>4054.8</v>
      </c>
      <c r="K167" s="1" t="str">
        <f>IF(AND(Table156[[#This Row],[Rising Through Threshold]],J166&gt;0),J167-J166,"")</f>
        <v/>
      </c>
      <c r="L167" s="1">
        <f>IF(Table156[[#This Row],[Voltage]]&gt;Threshold,1,0)</f>
        <v>1</v>
      </c>
      <c r="M167" s="1" t="b">
        <f>AND(Table156[[#This Row],[Last]]&gt;0,Table156[[#This Row],[Last]]&lt;MAX(Table156[Last]))</f>
        <v>1</v>
      </c>
      <c r="N167" s="41" t="str">
        <f>'Data In'!D173</f>
        <v>a</v>
      </c>
      <c r="O167" s="41" t="str">
        <f>'Data In'!E173</f>
        <v>a</v>
      </c>
      <c r="P167" s="41" t="e">
        <f t="shared" si="22"/>
        <v>#VALUE!</v>
      </c>
      <c r="Q167" s="41" t="e">
        <f t="shared" si="23"/>
        <v>#DIV/0!</v>
      </c>
      <c r="R167" s="41" t="e">
        <f>IF(Table156[[#This Row],[Rising Through Threshold2]],Table156[[#This Row],[Start time2]],R166)</f>
        <v>#DIV/0!</v>
      </c>
      <c r="S167" s="41" t="e">
        <f>IF(AND(Table156[[#This Row],[Rising Through Threshold2]],R166&gt;0),R167-R166,"")</f>
        <v>#DIV/0!</v>
      </c>
      <c r="T167" s="41" t="e">
        <f>IF(Table156[[#This Row],[Voltage2]]&gt;Threshold2,1,0)</f>
        <v>#DIV/0!</v>
      </c>
      <c r="U167" s="41" t="e">
        <f>AND(Table156[[#This Row],[Last2]]&gt;0,Table156[[#This Row],[Last2]]&lt;MAX(Table156[Last2]))</f>
        <v>#DIV/0!</v>
      </c>
      <c r="V167" s="41" t="b">
        <f>OR('Data In'!B173&gt;'Data In'!B172)</f>
        <v>1</v>
      </c>
      <c r="W167" s="41">
        <f>COUNTIF($V$2:V167,"false")</f>
        <v>1</v>
      </c>
      <c r="X167" s="57"/>
    </row>
    <row r="168" spans="1:24" x14ac:dyDescent="0.45">
      <c r="A168" s="1" t="s">
        <v>186</v>
      </c>
      <c r="B168" s="1">
        <f t="shared" si="20"/>
        <v>6</v>
      </c>
      <c r="C168" s="1">
        <f t="shared" si="18"/>
        <v>12</v>
      </c>
      <c r="D168" s="1">
        <f t="shared" si="18"/>
        <v>17</v>
      </c>
      <c r="E168" s="1" t="e">
        <f t="shared" si="18"/>
        <v>#VALUE!</v>
      </c>
      <c r="F168" s="3">
        <f>IF(Table156[[#This Row],[seq]]&gt;=Table156[[#Totals],[seq]],'Data In'!B174,"")</f>
        <v>4342.5600000000004</v>
      </c>
      <c r="G168" s="4">
        <f>'Data In'!C174</f>
        <v>3.73</v>
      </c>
      <c r="H168" s="3" t="e">
        <f t="shared" si="21"/>
        <v>#VALUE!</v>
      </c>
      <c r="I168" s="1" t="b">
        <f t="shared" si="17"/>
        <v>0</v>
      </c>
      <c r="J168" s="1">
        <f>IF(Table156[[#This Row],[Rising Through Threshold]],Table156[[#This Row],[Start time]],J167)</f>
        <v>4054.8</v>
      </c>
      <c r="K168" s="1" t="str">
        <f>IF(AND(Table156[[#This Row],[Rising Through Threshold]],J167&gt;0),J168-J167,"")</f>
        <v/>
      </c>
      <c r="L168" s="1">
        <f>IF(Table156[[#This Row],[Voltage]]&gt;Threshold,1,0)</f>
        <v>1</v>
      </c>
      <c r="M168" s="1" t="b">
        <f>AND(Table156[[#This Row],[Last]]&gt;0,Table156[[#This Row],[Last]]&lt;MAX(Table156[Last]))</f>
        <v>1</v>
      </c>
      <c r="N168" s="41" t="str">
        <f>'Data In'!D174</f>
        <v>a</v>
      </c>
      <c r="O168" s="41" t="str">
        <f>'Data In'!E174</f>
        <v>a</v>
      </c>
      <c r="P168" s="41" t="e">
        <f t="shared" si="22"/>
        <v>#VALUE!</v>
      </c>
      <c r="Q168" s="41" t="e">
        <f t="shared" si="23"/>
        <v>#DIV/0!</v>
      </c>
      <c r="R168" s="41" t="e">
        <f>IF(Table156[[#This Row],[Rising Through Threshold2]],Table156[[#This Row],[Start time2]],R167)</f>
        <v>#DIV/0!</v>
      </c>
      <c r="S168" s="41" t="e">
        <f>IF(AND(Table156[[#This Row],[Rising Through Threshold2]],R167&gt;0),R168-R167,"")</f>
        <v>#DIV/0!</v>
      </c>
      <c r="T168" s="41" t="e">
        <f>IF(Table156[[#This Row],[Voltage2]]&gt;Threshold2,1,0)</f>
        <v>#DIV/0!</v>
      </c>
      <c r="U168" s="41" t="e">
        <f>AND(Table156[[#This Row],[Last2]]&gt;0,Table156[[#This Row],[Last2]]&lt;MAX(Table156[Last2]))</f>
        <v>#DIV/0!</v>
      </c>
      <c r="V168" s="41" t="b">
        <f>OR('Data In'!B174&gt;'Data In'!B173)</f>
        <v>1</v>
      </c>
      <c r="W168" s="41">
        <f>COUNTIF($V$2:V168,"false")</f>
        <v>1</v>
      </c>
      <c r="X168" s="57"/>
    </row>
    <row r="169" spans="1:24" x14ac:dyDescent="0.45">
      <c r="A169" s="1" t="s">
        <v>187</v>
      </c>
      <c r="B169" s="1">
        <f t="shared" si="20"/>
        <v>6</v>
      </c>
      <c r="C169" s="1">
        <f t="shared" si="18"/>
        <v>12</v>
      </c>
      <c r="D169" s="1">
        <f t="shared" si="18"/>
        <v>17</v>
      </c>
      <c r="E169" s="1" t="e">
        <f t="shared" si="18"/>
        <v>#VALUE!</v>
      </c>
      <c r="F169" s="3">
        <f>IF(Table156[[#This Row],[seq]]&gt;=Table156[[#Totals],[seq]],'Data In'!B175,"")</f>
        <v>4368.72</v>
      </c>
      <c r="G169" s="4">
        <f>'Data In'!C175</f>
        <v>3.67</v>
      </c>
      <c r="H169" s="3" t="e">
        <f t="shared" si="21"/>
        <v>#VALUE!</v>
      </c>
      <c r="I169" s="1" t="b">
        <f t="shared" si="17"/>
        <v>0</v>
      </c>
      <c r="J169" s="1">
        <f>IF(Table156[[#This Row],[Rising Through Threshold]],Table156[[#This Row],[Start time]],J168)</f>
        <v>4054.8</v>
      </c>
      <c r="K169" s="1" t="str">
        <f>IF(AND(Table156[[#This Row],[Rising Through Threshold]],J168&gt;0),J169-J168,"")</f>
        <v/>
      </c>
      <c r="L169" s="1">
        <f>IF(Table156[[#This Row],[Voltage]]&gt;Threshold,1,0)</f>
        <v>1</v>
      </c>
      <c r="M169" s="1" t="b">
        <f>AND(Table156[[#This Row],[Last]]&gt;0,Table156[[#This Row],[Last]]&lt;MAX(Table156[Last]))</f>
        <v>1</v>
      </c>
      <c r="N169" s="41" t="str">
        <f>'Data In'!D175</f>
        <v>a</v>
      </c>
      <c r="O169" s="41" t="str">
        <f>'Data In'!E175</f>
        <v>a</v>
      </c>
      <c r="P169" s="41" t="e">
        <f t="shared" si="22"/>
        <v>#VALUE!</v>
      </c>
      <c r="Q169" s="41" t="e">
        <f t="shared" si="23"/>
        <v>#DIV/0!</v>
      </c>
      <c r="R169" s="41" t="e">
        <f>IF(Table156[[#This Row],[Rising Through Threshold2]],Table156[[#This Row],[Start time2]],R168)</f>
        <v>#DIV/0!</v>
      </c>
      <c r="S169" s="41" t="e">
        <f>IF(AND(Table156[[#This Row],[Rising Through Threshold2]],R168&gt;0),R169-R168,"")</f>
        <v>#DIV/0!</v>
      </c>
      <c r="T169" s="41" t="e">
        <f>IF(Table156[[#This Row],[Voltage2]]&gt;Threshold2,1,0)</f>
        <v>#DIV/0!</v>
      </c>
      <c r="U169" s="41" t="e">
        <f>AND(Table156[[#This Row],[Last2]]&gt;0,Table156[[#This Row],[Last2]]&lt;MAX(Table156[Last2]))</f>
        <v>#DIV/0!</v>
      </c>
      <c r="V169" s="41" t="b">
        <f>OR('Data In'!B175&gt;'Data In'!B174)</f>
        <v>1</v>
      </c>
      <c r="W169" s="41">
        <f>COUNTIF($V$2:V169,"false")</f>
        <v>1</v>
      </c>
      <c r="X169" s="57"/>
    </row>
    <row r="170" spans="1:24" x14ac:dyDescent="0.45">
      <c r="A170" s="1" t="s">
        <v>188</v>
      </c>
      <c r="B170" s="1">
        <f t="shared" si="20"/>
        <v>6</v>
      </c>
      <c r="C170" s="1">
        <f t="shared" si="18"/>
        <v>12</v>
      </c>
      <c r="D170" s="1">
        <f t="shared" si="18"/>
        <v>17</v>
      </c>
      <c r="E170" s="1" t="e">
        <f t="shared" si="18"/>
        <v>#VALUE!</v>
      </c>
      <c r="F170" s="3">
        <f>IF(Table156[[#This Row],[seq]]&gt;=Table156[[#Totals],[seq]],'Data In'!B176,"")</f>
        <v>4394.88</v>
      </c>
      <c r="G170" s="4">
        <f>'Data In'!C176</f>
        <v>3.51</v>
      </c>
      <c r="H170" s="3" t="e">
        <f t="shared" si="21"/>
        <v>#VALUE!</v>
      </c>
      <c r="I170" s="1" t="b">
        <f t="shared" si="17"/>
        <v>0</v>
      </c>
      <c r="J170" s="1">
        <f>IF(Table156[[#This Row],[Rising Through Threshold]],Table156[[#This Row],[Start time]],J169)</f>
        <v>4054.8</v>
      </c>
      <c r="K170" s="1" t="str">
        <f>IF(AND(Table156[[#This Row],[Rising Through Threshold]],J169&gt;0),J170-J169,"")</f>
        <v/>
      </c>
      <c r="L170" s="1">
        <f>IF(Table156[[#This Row],[Voltage]]&gt;Threshold,1,0)</f>
        <v>1</v>
      </c>
      <c r="M170" s="1" t="b">
        <f>AND(Table156[[#This Row],[Last]]&gt;0,Table156[[#This Row],[Last]]&lt;MAX(Table156[Last]))</f>
        <v>1</v>
      </c>
      <c r="N170" s="41" t="str">
        <f>'Data In'!D176</f>
        <v>a</v>
      </c>
      <c r="O170" s="41" t="str">
        <f>'Data In'!E176</f>
        <v>a</v>
      </c>
      <c r="P170" s="41" t="e">
        <f t="shared" si="22"/>
        <v>#VALUE!</v>
      </c>
      <c r="Q170" s="41" t="e">
        <f t="shared" si="23"/>
        <v>#DIV/0!</v>
      </c>
      <c r="R170" s="41" t="e">
        <f>IF(Table156[[#This Row],[Rising Through Threshold2]],Table156[[#This Row],[Start time2]],R169)</f>
        <v>#DIV/0!</v>
      </c>
      <c r="S170" s="41" t="e">
        <f>IF(AND(Table156[[#This Row],[Rising Through Threshold2]],R169&gt;0),R170-R169,"")</f>
        <v>#DIV/0!</v>
      </c>
      <c r="T170" s="41" t="e">
        <f>IF(Table156[[#This Row],[Voltage2]]&gt;Threshold2,1,0)</f>
        <v>#DIV/0!</v>
      </c>
      <c r="U170" s="41" t="e">
        <f>AND(Table156[[#This Row],[Last2]]&gt;0,Table156[[#This Row],[Last2]]&lt;MAX(Table156[Last2]))</f>
        <v>#DIV/0!</v>
      </c>
      <c r="V170" s="41" t="b">
        <f>OR('Data In'!B176&gt;'Data In'!B175)</f>
        <v>1</v>
      </c>
      <c r="W170" s="41">
        <f>COUNTIF($V$2:V170,"false")</f>
        <v>1</v>
      </c>
      <c r="X170" s="57"/>
    </row>
    <row r="171" spans="1:24" x14ac:dyDescent="0.45">
      <c r="A171" s="1" t="s">
        <v>189</v>
      </c>
      <c r="B171" s="1">
        <f t="shared" si="20"/>
        <v>6</v>
      </c>
      <c r="C171" s="1">
        <f t="shared" si="18"/>
        <v>12</v>
      </c>
      <c r="D171" s="1">
        <f t="shared" si="18"/>
        <v>17</v>
      </c>
      <c r="E171" s="1" t="e">
        <f t="shared" si="18"/>
        <v>#VALUE!</v>
      </c>
      <c r="F171" s="3">
        <f>IF(Table156[[#This Row],[seq]]&gt;=Table156[[#Totals],[seq]],'Data In'!B177,"")</f>
        <v>4421.3999999999996</v>
      </c>
      <c r="G171" s="4">
        <f>'Data In'!C177</f>
        <v>3.16</v>
      </c>
      <c r="H171" s="3" t="e">
        <f t="shared" si="21"/>
        <v>#VALUE!</v>
      </c>
      <c r="I171" s="1" t="b">
        <f t="shared" si="17"/>
        <v>0</v>
      </c>
      <c r="J171" s="1">
        <f>IF(Table156[[#This Row],[Rising Through Threshold]],Table156[[#This Row],[Start time]],J170)</f>
        <v>4054.8</v>
      </c>
      <c r="K171" s="1" t="str">
        <f>IF(AND(Table156[[#This Row],[Rising Through Threshold]],J170&gt;0),J171-J170,"")</f>
        <v/>
      </c>
      <c r="L171" s="1">
        <f>IF(Table156[[#This Row],[Voltage]]&gt;Threshold,1,0)</f>
        <v>1</v>
      </c>
      <c r="M171" s="1" t="b">
        <f>AND(Table156[[#This Row],[Last]]&gt;0,Table156[[#This Row],[Last]]&lt;MAX(Table156[Last]))</f>
        <v>1</v>
      </c>
      <c r="N171" s="41" t="str">
        <f>'Data In'!D177</f>
        <v>a</v>
      </c>
      <c r="O171" s="41" t="str">
        <f>'Data In'!E177</f>
        <v>a</v>
      </c>
      <c r="P171" s="41" t="e">
        <f t="shared" si="22"/>
        <v>#VALUE!</v>
      </c>
      <c r="Q171" s="41" t="e">
        <f t="shared" si="23"/>
        <v>#DIV/0!</v>
      </c>
      <c r="R171" s="41" t="e">
        <f>IF(Table156[[#This Row],[Rising Through Threshold2]],Table156[[#This Row],[Start time2]],R170)</f>
        <v>#DIV/0!</v>
      </c>
      <c r="S171" s="41" t="e">
        <f>IF(AND(Table156[[#This Row],[Rising Through Threshold2]],R170&gt;0),R171-R170,"")</f>
        <v>#DIV/0!</v>
      </c>
      <c r="T171" s="41" t="e">
        <f>IF(Table156[[#This Row],[Voltage2]]&gt;Threshold2,1,0)</f>
        <v>#DIV/0!</v>
      </c>
      <c r="U171" s="41" t="e">
        <f>AND(Table156[[#This Row],[Last2]]&gt;0,Table156[[#This Row],[Last2]]&lt;MAX(Table156[Last2]))</f>
        <v>#DIV/0!</v>
      </c>
      <c r="V171" s="41" t="b">
        <f>OR('Data In'!B177&gt;'Data In'!B176)</f>
        <v>1</v>
      </c>
      <c r="W171" s="41">
        <f>COUNTIF($V$2:V171,"false")</f>
        <v>1</v>
      </c>
      <c r="X171" s="57"/>
    </row>
    <row r="172" spans="1:24" x14ac:dyDescent="0.45">
      <c r="A172" s="1" t="s">
        <v>190</v>
      </c>
      <c r="B172" s="1">
        <f t="shared" si="20"/>
        <v>6</v>
      </c>
      <c r="C172" s="1">
        <f t="shared" si="18"/>
        <v>12</v>
      </c>
      <c r="D172" s="1">
        <f t="shared" si="18"/>
        <v>17</v>
      </c>
      <c r="E172" s="1" t="e">
        <f t="shared" si="18"/>
        <v>#VALUE!</v>
      </c>
      <c r="F172" s="3">
        <f>IF(Table156[[#This Row],[seq]]&gt;=Table156[[#Totals],[seq]],'Data In'!B178,"")</f>
        <v>4447.2</v>
      </c>
      <c r="G172" s="4">
        <f>'Data In'!C178</f>
        <v>2.61</v>
      </c>
      <c r="H172" s="3" t="e">
        <f t="shared" si="21"/>
        <v>#VALUE!</v>
      </c>
      <c r="I172" s="1" t="b">
        <f t="shared" si="17"/>
        <v>0</v>
      </c>
      <c r="J172" s="1">
        <f>IF(Table156[[#This Row],[Rising Through Threshold]],Table156[[#This Row],[Start time]],J171)</f>
        <v>4054.8</v>
      </c>
      <c r="K172" s="1" t="str">
        <f>IF(AND(Table156[[#This Row],[Rising Through Threshold]],J171&gt;0),J172-J171,"")</f>
        <v/>
      </c>
      <c r="L172" s="1">
        <f>IF(Table156[[#This Row],[Voltage]]&gt;Threshold,1,0)</f>
        <v>1</v>
      </c>
      <c r="M172" s="1" t="b">
        <f>AND(Table156[[#This Row],[Last]]&gt;0,Table156[[#This Row],[Last]]&lt;MAX(Table156[Last]))</f>
        <v>1</v>
      </c>
      <c r="N172" s="41" t="str">
        <f>'Data In'!D178</f>
        <v>a</v>
      </c>
      <c r="O172" s="41" t="str">
        <f>'Data In'!E178</f>
        <v>a</v>
      </c>
      <c r="P172" s="41" t="e">
        <f t="shared" si="22"/>
        <v>#VALUE!</v>
      </c>
      <c r="Q172" s="41" t="e">
        <f t="shared" si="23"/>
        <v>#DIV/0!</v>
      </c>
      <c r="R172" s="41" t="e">
        <f>IF(Table156[[#This Row],[Rising Through Threshold2]],Table156[[#This Row],[Start time2]],R171)</f>
        <v>#DIV/0!</v>
      </c>
      <c r="S172" s="41" t="e">
        <f>IF(AND(Table156[[#This Row],[Rising Through Threshold2]],R171&gt;0),R172-R171,"")</f>
        <v>#DIV/0!</v>
      </c>
      <c r="T172" s="41" t="e">
        <f>IF(Table156[[#This Row],[Voltage2]]&gt;Threshold2,1,0)</f>
        <v>#DIV/0!</v>
      </c>
      <c r="U172" s="41" t="e">
        <f>AND(Table156[[#This Row],[Last2]]&gt;0,Table156[[#This Row],[Last2]]&lt;MAX(Table156[Last2]))</f>
        <v>#DIV/0!</v>
      </c>
      <c r="V172" s="41" t="b">
        <f>OR('Data In'!B178&gt;'Data In'!B177)</f>
        <v>1</v>
      </c>
      <c r="W172" s="41">
        <f>COUNTIF($V$2:V172,"false")</f>
        <v>1</v>
      </c>
      <c r="X172" s="57"/>
    </row>
    <row r="173" spans="1:24" x14ac:dyDescent="0.45">
      <c r="A173" s="1" t="s">
        <v>191</v>
      </c>
      <c r="B173" s="1">
        <f t="shared" si="20"/>
        <v>6</v>
      </c>
      <c r="C173" s="1">
        <f t="shared" si="18"/>
        <v>12</v>
      </c>
      <c r="D173" s="1">
        <f t="shared" si="18"/>
        <v>17</v>
      </c>
      <c r="E173" s="1" t="e">
        <f t="shared" si="18"/>
        <v>#VALUE!</v>
      </c>
      <c r="F173" s="3">
        <f>IF(Table156[[#This Row],[seq]]&gt;=Table156[[#Totals],[seq]],'Data In'!B179,"")</f>
        <v>4473.3599999999997</v>
      </c>
      <c r="G173" s="4">
        <f>'Data In'!C179</f>
        <v>1.92</v>
      </c>
      <c r="H173" s="3" t="e">
        <f t="shared" si="21"/>
        <v>#VALUE!</v>
      </c>
      <c r="I173" s="1" t="b">
        <f t="shared" ref="I173:I201" si="24">AND(G172&lt;Threshold,G173&gt;Threshold)</f>
        <v>0</v>
      </c>
      <c r="J173" s="1">
        <f>IF(Table156[[#This Row],[Rising Through Threshold]],Table156[[#This Row],[Start time]],J172)</f>
        <v>4054.8</v>
      </c>
      <c r="K173" s="1" t="str">
        <f>IF(AND(Table156[[#This Row],[Rising Through Threshold]],J172&gt;0),J173-J172,"")</f>
        <v/>
      </c>
      <c r="L173" s="1">
        <f>IF(Table156[[#This Row],[Voltage]]&gt;Threshold,1,0)</f>
        <v>0</v>
      </c>
      <c r="M173" s="1" t="b">
        <f>AND(Table156[[#This Row],[Last]]&gt;0,Table156[[#This Row],[Last]]&lt;MAX(Table156[Last]))</f>
        <v>1</v>
      </c>
      <c r="N173" s="41" t="str">
        <f>'Data In'!D179</f>
        <v>a</v>
      </c>
      <c r="O173" s="41" t="str">
        <f>'Data In'!E179</f>
        <v>a</v>
      </c>
      <c r="P173" s="41" t="e">
        <f t="shared" si="22"/>
        <v>#VALUE!</v>
      </c>
      <c r="Q173" s="41" t="e">
        <f t="shared" si="23"/>
        <v>#DIV/0!</v>
      </c>
      <c r="R173" s="41" t="e">
        <f>IF(Table156[[#This Row],[Rising Through Threshold2]],Table156[[#This Row],[Start time2]],R172)</f>
        <v>#DIV/0!</v>
      </c>
      <c r="S173" s="41" t="e">
        <f>IF(AND(Table156[[#This Row],[Rising Through Threshold2]],R172&gt;0),R173-R172,"")</f>
        <v>#DIV/0!</v>
      </c>
      <c r="T173" s="41" t="e">
        <f>IF(Table156[[#This Row],[Voltage2]]&gt;Threshold2,1,0)</f>
        <v>#DIV/0!</v>
      </c>
      <c r="U173" s="41" t="e">
        <f>AND(Table156[[#This Row],[Last2]]&gt;0,Table156[[#This Row],[Last2]]&lt;MAX(Table156[Last2]))</f>
        <v>#DIV/0!</v>
      </c>
      <c r="V173" s="41" t="b">
        <f>OR('Data In'!B179&gt;'Data In'!B178)</f>
        <v>1</v>
      </c>
      <c r="W173" s="41">
        <f>COUNTIF($V$2:V173,"false")</f>
        <v>1</v>
      </c>
      <c r="X173" s="57"/>
    </row>
    <row r="174" spans="1:24" x14ac:dyDescent="0.45">
      <c r="A174" s="1" t="s">
        <v>192</v>
      </c>
      <c r="B174" s="1">
        <f t="shared" si="20"/>
        <v>6</v>
      </c>
      <c r="C174" s="1">
        <f t="shared" si="18"/>
        <v>12</v>
      </c>
      <c r="D174" s="1">
        <f t="shared" si="18"/>
        <v>17</v>
      </c>
      <c r="E174" s="1" t="e">
        <f t="shared" si="18"/>
        <v>#VALUE!</v>
      </c>
      <c r="F174" s="3">
        <f>IF(Table156[[#This Row],[seq]]&gt;=Table156[[#Totals],[seq]],'Data In'!B180,"")</f>
        <v>4499.5200000000004</v>
      </c>
      <c r="G174" s="4">
        <f>'Data In'!C180</f>
        <v>1.18</v>
      </c>
      <c r="H174" s="3" t="e">
        <f t="shared" si="21"/>
        <v>#VALUE!</v>
      </c>
      <c r="I174" s="1" t="b">
        <f t="shared" si="24"/>
        <v>0</v>
      </c>
      <c r="J174" s="1">
        <f>IF(Table156[[#This Row],[Rising Through Threshold]],Table156[[#This Row],[Start time]],J173)</f>
        <v>4054.8</v>
      </c>
      <c r="K174" s="1" t="str">
        <f>IF(AND(Table156[[#This Row],[Rising Through Threshold]],J173&gt;0),J174-J173,"")</f>
        <v/>
      </c>
      <c r="L174" s="1">
        <f>IF(Table156[[#This Row],[Voltage]]&gt;Threshold,1,0)</f>
        <v>0</v>
      </c>
      <c r="M174" s="1" t="b">
        <f>AND(Table156[[#This Row],[Last]]&gt;0,Table156[[#This Row],[Last]]&lt;MAX(Table156[Last]))</f>
        <v>1</v>
      </c>
      <c r="N174" s="41" t="str">
        <f>'Data In'!D180</f>
        <v>a</v>
      </c>
      <c r="O174" s="41" t="str">
        <f>'Data In'!E180</f>
        <v>a</v>
      </c>
      <c r="P174" s="41" t="e">
        <f t="shared" si="22"/>
        <v>#VALUE!</v>
      </c>
      <c r="Q174" s="41" t="e">
        <f t="shared" si="23"/>
        <v>#DIV/0!</v>
      </c>
      <c r="R174" s="41" t="e">
        <f>IF(Table156[[#This Row],[Rising Through Threshold2]],Table156[[#This Row],[Start time2]],R173)</f>
        <v>#DIV/0!</v>
      </c>
      <c r="S174" s="41" t="e">
        <f>IF(AND(Table156[[#This Row],[Rising Through Threshold2]],R173&gt;0),R174-R173,"")</f>
        <v>#DIV/0!</v>
      </c>
      <c r="T174" s="41" t="e">
        <f>IF(Table156[[#This Row],[Voltage2]]&gt;Threshold2,1,0)</f>
        <v>#DIV/0!</v>
      </c>
      <c r="U174" s="41" t="e">
        <f>AND(Table156[[#This Row],[Last2]]&gt;0,Table156[[#This Row],[Last2]]&lt;MAX(Table156[Last2]))</f>
        <v>#DIV/0!</v>
      </c>
      <c r="V174" s="41" t="b">
        <f>OR('Data In'!B180&gt;'Data In'!B179)</f>
        <v>1</v>
      </c>
      <c r="W174" s="41">
        <f>COUNTIF($V$2:V174,"false")</f>
        <v>1</v>
      </c>
      <c r="X174" s="57"/>
    </row>
    <row r="175" spans="1:24" x14ac:dyDescent="0.45">
      <c r="A175" s="1" t="s">
        <v>193</v>
      </c>
      <c r="B175" s="1">
        <f t="shared" si="20"/>
        <v>6</v>
      </c>
      <c r="C175" s="1">
        <f t="shared" si="18"/>
        <v>12</v>
      </c>
      <c r="D175" s="1">
        <f t="shared" si="18"/>
        <v>17</v>
      </c>
      <c r="E175" s="1" t="e">
        <f t="shared" si="18"/>
        <v>#VALUE!</v>
      </c>
      <c r="F175" s="3">
        <f>IF(Table156[[#This Row],[seq]]&gt;=Table156[[#Totals],[seq]],'Data In'!B181,"")</f>
        <v>4525.68</v>
      </c>
      <c r="G175" s="4">
        <f>'Data In'!C181</f>
        <v>0.53</v>
      </c>
      <c r="H175" s="3" t="e">
        <f t="shared" si="21"/>
        <v>#VALUE!</v>
      </c>
      <c r="I175" s="1" t="b">
        <f t="shared" si="24"/>
        <v>0</v>
      </c>
      <c r="J175" s="1">
        <f>IF(Table156[[#This Row],[Rising Through Threshold]],Table156[[#This Row],[Start time]],J174)</f>
        <v>4054.8</v>
      </c>
      <c r="K175" s="1" t="str">
        <f>IF(AND(Table156[[#This Row],[Rising Through Threshold]],J174&gt;0),J175-J174,"")</f>
        <v/>
      </c>
      <c r="L175" s="1">
        <f>IF(Table156[[#This Row],[Voltage]]&gt;Threshold,1,0)</f>
        <v>0</v>
      </c>
      <c r="M175" s="1" t="b">
        <f>AND(Table156[[#This Row],[Last]]&gt;0,Table156[[#This Row],[Last]]&lt;MAX(Table156[Last]))</f>
        <v>1</v>
      </c>
      <c r="N175" s="41" t="str">
        <f>'Data In'!D181</f>
        <v>a</v>
      </c>
      <c r="O175" s="41" t="str">
        <f>'Data In'!E181</f>
        <v>a</v>
      </c>
      <c r="P175" s="41" t="e">
        <f t="shared" si="22"/>
        <v>#VALUE!</v>
      </c>
      <c r="Q175" s="41" t="e">
        <f t="shared" si="23"/>
        <v>#DIV/0!</v>
      </c>
      <c r="R175" s="41" t="e">
        <f>IF(Table156[[#This Row],[Rising Through Threshold2]],Table156[[#This Row],[Start time2]],R174)</f>
        <v>#DIV/0!</v>
      </c>
      <c r="S175" s="41" t="e">
        <f>IF(AND(Table156[[#This Row],[Rising Through Threshold2]],R174&gt;0),R175-R174,"")</f>
        <v>#DIV/0!</v>
      </c>
      <c r="T175" s="41" t="e">
        <f>IF(Table156[[#This Row],[Voltage2]]&gt;Threshold2,1,0)</f>
        <v>#DIV/0!</v>
      </c>
      <c r="U175" s="41" t="e">
        <f>AND(Table156[[#This Row],[Last2]]&gt;0,Table156[[#This Row],[Last2]]&lt;MAX(Table156[Last2]))</f>
        <v>#DIV/0!</v>
      </c>
      <c r="V175" s="41" t="b">
        <f>OR('Data In'!B181&gt;'Data In'!B180)</f>
        <v>1</v>
      </c>
      <c r="W175" s="41">
        <f>COUNTIF($V$2:V175,"false")</f>
        <v>1</v>
      </c>
      <c r="X175" s="57"/>
    </row>
    <row r="176" spans="1:24" x14ac:dyDescent="0.45">
      <c r="A176" s="1" t="s">
        <v>194</v>
      </c>
      <c r="B176" s="1">
        <f t="shared" si="20"/>
        <v>6</v>
      </c>
      <c r="C176" s="1">
        <f t="shared" si="18"/>
        <v>12</v>
      </c>
      <c r="D176" s="1">
        <f t="shared" si="18"/>
        <v>17</v>
      </c>
      <c r="E176" s="1" t="e">
        <f t="shared" si="18"/>
        <v>#VALUE!</v>
      </c>
      <c r="F176" s="3">
        <f>IF(Table156[[#This Row],[seq]]&gt;=Table156[[#Totals],[seq]],'Data In'!B182,"")</f>
        <v>4551.84</v>
      </c>
      <c r="G176" s="4">
        <f>'Data In'!C182</f>
        <v>0.43</v>
      </c>
      <c r="H176" s="3" t="e">
        <f t="shared" si="21"/>
        <v>#VALUE!</v>
      </c>
      <c r="I176" s="1" t="b">
        <f t="shared" si="24"/>
        <v>0</v>
      </c>
      <c r="J176" s="1">
        <f>IF(Table156[[#This Row],[Rising Through Threshold]],Table156[[#This Row],[Start time]],J175)</f>
        <v>4054.8</v>
      </c>
      <c r="K176" s="1" t="str">
        <f>IF(AND(Table156[[#This Row],[Rising Through Threshold]],J175&gt;0),J176-J175,"")</f>
        <v/>
      </c>
      <c r="L176" s="1">
        <f>IF(Table156[[#This Row],[Voltage]]&gt;Threshold,1,0)</f>
        <v>0</v>
      </c>
      <c r="M176" s="1" t="b">
        <f>AND(Table156[[#This Row],[Last]]&gt;0,Table156[[#This Row],[Last]]&lt;MAX(Table156[Last]))</f>
        <v>1</v>
      </c>
      <c r="N176" s="41" t="str">
        <f>'Data In'!D182</f>
        <v>a</v>
      </c>
      <c r="O176" s="41" t="str">
        <f>'Data In'!E182</f>
        <v>a</v>
      </c>
      <c r="P176" s="41" t="e">
        <f t="shared" si="22"/>
        <v>#VALUE!</v>
      </c>
      <c r="Q176" s="41" t="e">
        <f t="shared" si="23"/>
        <v>#DIV/0!</v>
      </c>
      <c r="R176" s="41" t="e">
        <f>IF(Table156[[#This Row],[Rising Through Threshold2]],Table156[[#This Row],[Start time2]],R175)</f>
        <v>#DIV/0!</v>
      </c>
      <c r="S176" s="41" t="e">
        <f>IF(AND(Table156[[#This Row],[Rising Through Threshold2]],R175&gt;0),R176-R175,"")</f>
        <v>#DIV/0!</v>
      </c>
      <c r="T176" s="41" t="e">
        <f>IF(Table156[[#This Row],[Voltage2]]&gt;Threshold2,1,0)</f>
        <v>#DIV/0!</v>
      </c>
      <c r="U176" s="41" t="e">
        <f>AND(Table156[[#This Row],[Last2]]&gt;0,Table156[[#This Row],[Last2]]&lt;MAX(Table156[Last2]))</f>
        <v>#DIV/0!</v>
      </c>
      <c r="V176" s="41" t="b">
        <f>OR('Data In'!B182&gt;'Data In'!B181)</f>
        <v>1</v>
      </c>
      <c r="W176" s="41">
        <f>COUNTIF($V$2:V176,"false")</f>
        <v>1</v>
      </c>
      <c r="X176" s="57"/>
    </row>
    <row r="177" spans="1:24" x14ac:dyDescent="0.45">
      <c r="A177" s="1" t="s">
        <v>195</v>
      </c>
      <c r="B177" s="1">
        <f t="shared" si="20"/>
        <v>6</v>
      </c>
      <c r="C177" s="1">
        <f t="shared" si="18"/>
        <v>12</v>
      </c>
      <c r="D177" s="1">
        <f t="shared" si="18"/>
        <v>17</v>
      </c>
      <c r="E177" s="1" t="e">
        <f t="shared" si="18"/>
        <v>#VALUE!</v>
      </c>
      <c r="F177" s="3">
        <f>IF(Table156[[#This Row],[seq]]&gt;=Table156[[#Totals],[seq]],'Data In'!B183,"")</f>
        <v>4578</v>
      </c>
      <c r="G177" s="4">
        <f>'Data In'!C183</f>
        <v>0.47</v>
      </c>
      <c r="H177" s="3" t="e">
        <f t="shared" si="21"/>
        <v>#VALUE!</v>
      </c>
      <c r="I177" s="1" t="b">
        <f t="shared" si="24"/>
        <v>0</v>
      </c>
      <c r="J177" s="1">
        <f>IF(Table156[[#This Row],[Rising Through Threshold]],Table156[[#This Row],[Start time]],J176)</f>
        <v>4054.8</v>
      </c>
      <c r="K177" s="1" t="str">
        <f>IF(AND(Table156[[#This Row],[Rising Through Threshold]],J176&gt;0),J177-J176,"")</f>
        <v/>
      </c>
      <c r="L177" s="1">
        <f>IF(Table156[[#This Row],[Voltage]]&gt;Threshold,1,0)</f>
        <v>0</v>
      </c>
      <c r="M177" s="1" t="b">
        <f>AND(Table156[[#This Row],[Last]]&gt;0,Table156[[#This Row],[Last]]&lt;MAX(Table156[Last]))</f>
        <v>1</v>
      </c>
      <c r="N177" s="41" t="str">
        <f>'Data In'!D183</f>
        <v>a</v>
      </c>
      <c r="O177" s="41" t="str">
        <f>'Data In'!E183</f>
        <v>a</v>
      </c>
      <c r="P177" s="41" t="e">
        <f t="shared" si="22"/>
        <v>#VALUE!</v>
      </c>
      <c r="Q177" s="41" t="e">
        <f t="shared" si="23"/>
        <v>#DIV/0!</v>
      </c>
      <c r="R177" s="41" t="e">
        <f>IF(Table156[[#This Row],[Rising Through Threshold2]],Table156[[#This Row],[Start time2]],R176)</f>
        <v>#DIV/0!</v>
      </c>
      <c r="S177" s="41" t="e">
        <f>IF(AND(Table156[[#This Row],[Rising Through Threshold2]],R176&gt;0),R177-R176,"")</f>
        <v>#DIV/0!</v>
      </c>
      <c r="T177" s="41" t="e">
        <f>IF(Table156[[#This Row],[Voltage2]]&gt;Threshold2,1,0)</f>
        <v>#DIV/0!</v>
      </c>
      <c r="U177" s="41" t="e">
        <f>AND(Table156[[#This Row],[Last2]]&gt;0,Table156[[#This Row],[Last2]]&lt;MAX(Table156[Last2]))</f>
        <v>#DIV/0!</v>
      </c>
      <c r="V177" s="41" t="b">
        <f>OR('Data In'!B183&gt;'Data In'!B182)</f>
        <v>1</v>
      </c>
      <c r="W177" s="41">
        <f>COUNTIF($V$2:V177,"false")</f>
        <v>1</v>
      </c>
      <c r="X177" s="57"/>
    </row>
    <row r="178" spans="1:24" x14ac:dyDescent="0.45">
      <c r="A178" s="1" t="s">
        <v>196</v>
      </c>
      <c r="B178" s="1">
        <f t="shared" si="20"/>
        <v>6</v>
      </c>
      <c r="C178" s="1">
        <f t="shared" si="18"/>
        <v>12</v>
      </c>
      <c r="D178" s="1">
        <f t="shared" si="18"/>
        <v>17</v>
      </c>
      <c r="E178" s="1" t="e">
        <f t="shared" si="18"/>
        <v>#VALUE!</v>
      </c>
      <c r="F178" s="3">
        <f>IF(Table156[[#This Row],[seq]]&gt;=Table156[[#Totals],[seq]],'Data In'!B184,"")</f>
        <v>4604.16</v>
      </c>
      <c r="G178" s="4">
        <f>'Data In'!C184</f>
        <v>0.51</v>
      </c>
      <c r="H178" s="3" t="e">
        <f t="shared" si="21"/>
        <v>#VALUE!</v>
      </c>
      <c r="I178" s="1" t="b">
        <f t="shared" si="24"/>
        <v>0</v>
      </c>
      <c r="J178" s="1">
        <f>IF(Table156[[#This Row],[Rising Through Threshold]],Table156[[#This Row],[Start time]],J177)</f>
        <v>4054.8</v>
      </c>
      <c r="K178" s="1" t="str">
        <f>IF(AND(Table156[[#This Row],[Rising Through Threshold]],J177&gt;0),J178-J177,"")</f>
        <v/>
      </c>
      <c r="L178" s="1">
        <f>IF(Table156[[#This Row],[Voltage]]&gt;Threshold,1,0)</f>
        <v>0</v>
      </c>
      <c r="M178" s="1" t="b">
        <f>AND(Table156[[#This Row],[Last]]&gt;0,Table156[[#This Row],[Last]]&lt;MAX(Table156[Last]))</f>
        <v>1</v>
      </c>
      <c r="N178" s="41" t="str">
        <f>'Data In'!D184</f>
        <v>a</v>
      </c>
      <c r="O178" s="41" t="str">
        <f>'Data In'!E184</f>
        <v>a</v>
      </c>
      <c r="P178" s="41" t="e">
        <f t="shared" si="22"/>
        <v>#VALUE!</v>
      </c>
      <c r="Q178" s="41" t="e">
        <f t="shared" si="23"/>
        <v>#DIV/0!</v>
      </c>
      <c r="R178" s="41" t="e">
        <f>IF(Table156[[#This Row],[Rising Through Threshold2]],Table156[[#This Row],[Start time2]],R177)</f>
        <v>#DIV/0!</v>
      </c>
      <c r="S178" s="41" t="e">
        <f>IF(AND(Table156[[#This Row],[Rising Through Threshold2]],R177&gt;0),R178-R177,"")</f>
        <v>#DIV/0!</v>
      </c>
      <c r="T178" s="41" t="e">
        <f>IF(Table156[[#This Row],[Voltage2]]&gt;Threshold2,1,0)</f>
        <v>#DIV/0!</v>
      </c>
      <c r="U178" s="41" t="e">
        <f>AND(Table156[[#This Row],[Last2]]&gt;0,Table156[[#This Row],[Last2]]&lt;MAX(Table156[Last2]))</f>
        <v>#DIV/0!</v>
      </c>
      <c r="V178" s="41" t="b">
        <f>OR('Data In'!B184&gt;'Data In'!B183)</f>
        <v>1</v>
      </c>
      <c r="W178" s="41">
        <f>COUNTIF($V$2:V178,"false")</f>
        <v>1</v>
      </c>
      <c r="X178" s="57"/>
    </row>
    <row r="179" spans="1:24" x14ac:dyDescent="0.45">
      <c r="A179" s="1" t="s">
        <v>197</v>
      </c>
      <c r="B179" s="1">
        <f t="shared" si="20"/>
        <v>6</v>
      </c>
      <c r="C179" s="1">
        <f t="shared" si="18"/>
        <v>12</v>
      </c>
      <c r="D179" s="1">
        <f t="shared" si="18"/>
        <v>17</v>
      </c>
      <c r="E179" s="1" t="e">
        <f t="shared" si="18"/>
        <v>#VALUE!</v>
      </c>
      <c r="F179" s="3">
        <f>IF(Table156[[#This Row],[seq]]&gt;=Table156[[#Totals],[seq]],'Data In'!B185,"")</f>
        <v>4630.32</v>
      </c>
      <c r="G179" s="4">
        <f>'Data In'!C185</f>
        <v>0.63</v>
      </c>
      <c r="H179" s="3" t="e">
        <f t="shared" si="21"/>
        <v>#VALUE!</v>
      </c>
      <c r="I179" s="1" t="b">
        <f t="shared" si="24"/>
        <v>0</v>
      </c>
      <c r="J179" s="1">
        <f>IF(Table156[[#This Row],[Rising Through Threshold]],Table156[[#This Row],[Start time]],J178)</f>
        <v>4054.8</v>
      </c>
      <c r="K179" s="1" t="str">
        <f>IF(AND(Table156[[#This Row],[Rising Through Threshold]],J178&gt;0),J179-J178,"")</f>
        <v/>
      </c>
      <c r="L179" s="1">
        <f>IF(Table156[[#This Row],[Voltage]]&gt;Threshold,1,0)</f>
        <v>0</v>
      </c>
      <c r="M179" s="1" t="b">
        <f>AND(Table156[[#This Row],[Last]]&gt;0,Table156[[#This Row],[Last]]&lt;MAX(Table156[Last]))</f>
        <v>1</v>
      </c>
      <c r="N179" s="41" t="str">
        <f>'Data In'!D185</f>
        <v>a</v>
      </c>
      <c r="O179" s="41" t="str">
        <f>'Data In'!E185</f>
        <v>a</v>
      </c>
      <c r="P179" s="41" t="e">
        <f t="shared" si="22"/>
        <v>#VALUE!</v>
      </c>
      <c r="Q179" s="41" t="e">
        <f t="shared" si="23"/>
        <v>#DIV/0!</v>
      </c>
      <c r="R179" s="41" t="e">
        <f>IF(Table156[[#This Row],[Rising Through Threshold2]],Table156[[#This Row],[Start time2]],R178)</f>
        <v>#DIV/0!</v>
      </c>
      <c r="S179" s="41" t="e">
        <f>IF(AND(Table156[[#This Row],[Rising Through Threshold2]],R178&gt;0),R179-R178,"")</f>
        <v>#DIV/0!</v>
      </c>
      <c r="T179" s="41" t="e">
        <f>IF(Table156[[#This Row],[Voltage2]]&gt;Threshold2,1,0)</f>
        <v>#DIV/0!</v>
      </c>
      <c r="U179" s="41" t="e">
        <f>AND(Table156[[#This Row],[Last2]]&gt;0,Table156[[#This Row],[Last2]]&lt;MAX(Table156[Last2]))</f>
        <v>#DIV/0!</v>
      </c>
      <c r="V179" s="41" t="b">
        <f>OR('Data In'!B185&gt;'Data In'!B184)</f>
        <v>1</v>
      </c>
      <c r="W179" s="41">
        <f>COUNTIF($V$2:V179,"false")</f>
        <v>1</v>
      </c>
      <c r="X179" s="57"/>
    </row>
    <row r="180" spans="1:24" x14ac:dyDescent="0.45">
      <c r="A180" s="1" t="s">
        <v>198</v>
      </c>
      <c r="B180" s="1">
        <f t="shared" si="20"/>
        <v>6</v>
      </c>
      <c r="C180" s="1">
        <f t="shared" si="18"/>
        <v>12</v>
      </c>
      <c r="D180" s="1">
        <f t="shared" si="18"/>
        <v>17</v>
      </c>
      <c r="E180" s="1" t="e">
        <f t="shared" si="18"/>
        <v>#VALUE!</v>
      </c>
      <c r="F180" s="3">
        <f>IF(Table156[[#This Row],[seq]]&gt;=Table156[[#Totals],[seq]],'Data In'!B186,"")</f>
        <v>4656.4799999999996</v>
      </c>
      <c r="G180" s="4">
        <f>'Data In'!C186</f>
        <v>0.82</v>
      </c>
      <c r="H180" s="3" t="e">
        <f t="shared" si="21"/>
        <v>#VALUE!</v>
      </c>
      <c r="I180" s="1" t="b">
        <f t="shared" si="24"/>
        <v>0</v>
      </c>
      <c r="J180" s="1">
        <f>IF(Table156[[#This Row],[Rising Through Threshold]],Table156[[#This Row],[Start time]],J179)</f>
        <v>4054.8</v>
      </c>
      <c r="K180" s="1" t="str">
        <f>IF(AND(Table156[[#This Row],[Rising Through Threshold]],J179&gt;0),J180-J179,"")</f>
        <v/>
      </c>
      <c r="L180" s="1">
        <f>IF(Table156[[#This Row],[Voltage]]&gt;Threshold,1,0)</f>
        <v>0</v>
      </c>
      <c r="M180" s="1" t="b">
        <f>AND(Table156[[#This Row],[Last]]&gt;0,Table156[[#This Row],[Last]]&lt;MAX(Table156[Last]))</f>
        <v>1</v>
      </c>
      <c r="N180" s="41" t="str">
        <f>'Data In'!D186</f>
        <v>a</v>
      </c>
      <c r="O180" s="41" t="str">
        <f>'Data In'!E186</f>
        <v>a</v>
      </c>
      <c r="P180" s="41" t="e">
        <f t="shared" si="22"/>
        <v>#VALUE!</v>
      </c>
      <c r="Q180" s="41" t="e">
        <f t="shared" si="23"/>
        <v>#DIV/0!</v>
      </c>
      <c r="R180" s="41" t="e">
        <f>IF(Table156[[#This Row],[Rising Through Threshold2]],Table156[[#This Row],[Start time2]],R179)</f>
        <v>#DIV/0!</v>
      </c>
      <c r="S180" s="41" t="e">
        <f>IF(AND(Table156[[#This Row],[Rising Through Threshold2]],R179&gt;0),R180-R179,"")</f>
        <v>#DIV/0!</v>
      </c>
      <c r="T180" s="41" t="e">
        <f>IF(Table156[[#This Row],[Voltage2]]&gt;Threshold2,1,0)</f>
        <v>#DIV/0!</v>
      </c>
      <c r="U180" s="41" t="e">
        <f>AND(Table156[[#This Row],[Last2]]&gt;0,Table156[[#This Row],[Last2]]&lt;MAX(Table156[Last2]))</f>
        <v>#DIV/0!</v>
      </c>
      <c r="V180" s="41" t="b">
        <f>OR('Data In'!B186&gt;'Data In'!B185)</f>
        <v>1</v>
      </c>
      <c r="W180" s="41">
        <f>COUNTIF($V$2:V180,"false")</f>
        <v>1</v>
      </c>
      <c r="X180" s="57"/>
    </row>
    <row r="181" spans="1:24" x14ac:dyDescent="0.45">
      <c r="A181" s="1" t="s">
        <v>199</v>
      </c>
      <c r="B181" s="1">
        <f t="shared" si="20"/>
        <v>6</v>
      </c>
      <c r="C181" s="1">
        <f t="shared" si="18"/>
        <v>12</v>
      </c>
      <c r="D181" s="1">
        <f t="shared" si="18"/>
        <v>17</v>
      </c>
      <c r="E181" s="1" t="e">
        <f t="shared" si="18"/>
        <v>#VALUE!</v>
      </c>
      <c r="F181" s="3">
        <f>IF(Table156[[#This Row],[seq]]&gt;=Table156[[#Totals],[seq]],'Data In'!B187,"")</f>
        <v>4682.6400000000003</v>
      </c>
      <c r="G181" s="4">
        <f>'Data In'!C187</f>
        <v>1.08</v>
      </c>
      <c r="H181" s="3" t="e">
        <f t="shared" si="21"/>
        <v>#VALUE!</v>
      </c>
      <c r="I181" s="1" t="b">
        <f t="shared" si="24"/>
        <v>0</v>
      </c>
      <c r="J181" s="1">
        <f>IF(Table156[[#This Row],[Rising Through Threshold]],Table156[[#This Row],[Start time]],J180)</f>
        <v>4054.8</v>
      </c>
      <c r="K181" s="1" t="str">
        <f>IF(AND(Table156[[#This Row],[Rising Through Threshold]],J180&gt;0),J181-J180,"")</f>
        <v/>
      </c>
      <c r="L181" s="1">
        <f>IF(Table156[[#This Row],[Voltage]]&gt;Threshold,1,0)</f>
        <v>0</v>
      </c>
      <c r="M181" s="1" t="b">
        <f>AND(Table156[[#This Row],[Last]]&gt;0,Table156[[#This Row],[Last]]&lt;MAX(Table156[Last]))</f>
        <v>1</v>
      </c>
      <c r="N181" s="41" t="str">
        <f>'Data In'!D187</f>
        <v>a</v>
      </c>
      <c r="O181" s="41" t="str">
        <f>'Data In'!E187</f>
        <v>a</v>
      </c>
      <c r="P181" s="41" t="e">
        <f t="shared" si="22"/>
        <v>#VALUE!</v>
      </c>
      <c r="Q181" s="41" t="e">
        <f t="shared" si="23"/>
        <v>#DIV/0!</v>
      </c>
      <c r="R181" s="41" t="e">
        <f>IF(Table156[[#This Row],[Rising Through Threshold2]],Table156[[#This Row],[Start time2]],R180)</f>
        <v>#DIV/0!</v>
      </c>
      <c r="S181" s="41" t="e">
        <f>IF(AND(Table156[[#This Row],[Rising Through Threshold2]],R180&gt;0),R181-R180,"")</f>
        <v>#DIV/0!</v>
      </c>
      <c r="T181" s="41" t="e">
        <f>IF(Table156[[#This Row],[Voltage2]]&gt;Threshold2,1,0)</f>
        <v>#DIV/0!</v>
      </c>
      <c r="U181" s="41" t="e">
        <f>AND(Table156[[#This Row],[Last2]]&gt;0,Table156[[#This Row],[Last2]]&lt;MAX(Table156[Last2]))</f>
        <v>#DIV/0!</v>
      </c>
      <c r="V181" s="41" t="b">
        <f>OR('Data In'!B187&gt;'Data In'!B186)</f>
        <v>1</v>
      </c>
      <c r="W181" s="41">
        <f>COUNTIF($V$2:V181,"false")</f>
        <v>1</v>
      </c>
      <c r="X181" s="57"/>
    </row>
    <row r="182" spans="1:24" x14ac:dyDescent="0.45">
      <c r="A182" s="1" t="s">
        <v>200</v>
      </c>
      <c r="B182" s="1">
        <f t="shared" si="20"/>
        <v>6</v>
      </c>
      <c r="C182" s="1">
        <f t="shared" si="18"/>
        <v>12</v>
      </c>
      <c r="D182" s="1">
        <f t="shared" si="18"/>
        <v>17</v>
      </c>
      <c r="E182" s="1" t="e">
        <f t="shared" si="18"/>
        <v>#VALUE!</v>
      </c>
      <c r="F182" s="3">
        <f>IF(Table156[[#This Row],[seq]]&gt;=Table156[[#Totals],[seq]],'Data In'!B188,"")</f>
        <v>4708.8</v>
      </c>
      <c r="G182" s="4">
        <f>'Data In'!C188</f>
        <v>1.33</v>
      </c>
      <c r="H182" s="3" t="e">
        <f t="shared" si="21"/>
        <v>#VALUE!</v>
      </c>
      <c r="I182" s="1" t="b">
        <f t="shared" si="24"/>
        <v>0</v>
      </c>
      <c r="J182" s="1">
        <f>IF(Table156[[#This Row],[Rising Through Threshold]],Table156[[#This Row],[Start time]],J181)</f>
        <v>4054.8</v>
      </c>
      <c r="K182" s="1" t="str">
        <f>IF(AND(Table156[[#This Row],[Rising Through Threshold]],J181&gt;0),J182-J181,"")</f>
        <v/>
      </c>
      <c r="L182" s="1">
        <f>IF(Table156[[#This Row],[Voltage]]&gt;Threshold,1,0)</f>
        <v>0</v>
      </c>
      <c r="M182" s="1" t="b">
        <f>AND(Table156[[#This Row],[Last]]&gt;0,Table156[[#This Row],[Last]]&lt;MAX(Table156[Last]))</f>
        <v>1</v>
      </c>
      <c r="N182" s="41" t="str">
        <f>'Data In'!D188</f>
        <v>a</v>
      </c>
      <c r="O182" s="41" t="str">
        <f>'Data In'!E188</f>
        <v>a</v>
      </c>
      <c r="P182" s="41" t="e">
        <f t="shared" si="22"/>
        <v>#VALUE!</v>
      </c>
      <c r="Q182" s="41" t="e">
        <f t="shared" si="23"/>
        <v>#DIV/0!</v>
      </c>
      <c r="R182" s="41" t="e">
        <f>IF(Table156[[#This Row],[Rising Through Threshold2]],Table156[[#This Row],[Start time2]],R181)</f>
        <v>#DIV/0!</v>
      </c>
      <c r="S182" s="41" t="e">
        <f>IF(AND(Table156[[#This Row],[Rising Through Threshold2]],R181&gt;0),R182-R181,"")</f>
        <v>#DIV/0!</v>
      </c>
      <c r="T182" s="41" t="e">
        <f>IF(Table156[[#This Row],[Voltage2]]&gt;Threshold2,1,0)</f>
        <v>#DIV/0!</v>
      </c>
      <c r="U182" s="41" t="e">
        <f>AND(Table156[[#This Row],[Last2]]&gt;0,Table156[[#This Row],[Last2]]&lt;MAX(Table156[Last2]))</f>
        <v>#DIV/0!</v>
      </c>
      <c r="V182" s="41" t="b">
        <f>OR('Data In'!B188&gt;'Data In'!B187)</f>
        <v>1</v>
      </c>
      <c r="W182" s="41">
        <f>COUNTIF($V$2:V182,"false")</f>
        <v>1</v>
      </c>
      <c r="X182" s="57"/>
    </row>
    <row r="183" spans="1:24" x14ac:dyDescent="0.45">
      <c r="A183" s="1" t="s">
        <v>201</v>
      </c>
      <c r="B183" s="1">
        <f t="shared" si="20"/>
        <v>6</v>
      </c>
      <c r="C183" s="1">
        <f t="shared" si="18"/>
        <v>12</v>
      </c>
      <c r="D183" s="1">
        <f t="shared" si="18"/>
        <v>17</v>
      </c>
      <c r="E183" s="1" t="e">
        <f t="shared" si="18"/>
        <v>#VALUE!</v>
      </c>
      <c r="F183" s="3">
        <f>IF(Table156[[#This Row],[seq]]&gt;=Table156[[#Totals],[seq]],'Data In'!B189,"")</f>
        <v>4734.96</v>
      </c>
      <c r="G183" s="4">
        <f>'Data In'!C189</f>
        <v>1.61</v>
      </c>
      <c r="H183" s="3" t="e">
        <f t="shared" si="21"/>
        <v>#VALUE!</v>
      </c>
      <c r="I183" s="1" t="b">
        <f t="shared" si="24"/>
        <v>0</v>
      </c>
      <c r="J183" s="1">
        <f>IF(Table156[[#This Row],[Rising Through Threshold]],Table156[[#This Row],[Start time]],J182)</f>
        <v>4054.8</v>
      </c>
      <c r="K183" s="1" t="str">
        <f>IF(AND(Table156[[#This Row],[Rising Through Threshold]],J182&gt;0),J183-J182,"")</f>
        <v/>
      </c>
      <c r="L183" s="1">
        <f>IF(Table156[[#This Row],[Voltage]]&gt;Threshold,1,0)</f>
        <v>0</v>
      </c>
      <c r="M183" s="1" t="b">
        <f>AND(Table156[[#This Row],[Last]]&gt;0,Table156[[#This Row],[Last]]&lt;MAX(Table156[Last]))</f>
        <v>1</v>
      </c>
      <c r="N183" s="41" t="str">
        <f>'Data In'!D189</f>
        <v>a</v>
      </c>
      <c r="O183" s="41" t="str">
        <f>'Data In'!E189</f>
        <v>a</v>
      </c>
      <c r="P183" s="41" t="e">
        <f t="shared" si="22"/>
        <v>#VALUE!</v>
      </c>
      <c r="Q183" s="41" t="e">
        <f t="shared" si="23"/>
        <v>#DIV/0!</v>
      </c>
      <c r="R183" s="41" t="e">
        <f>IF(Table156[[#This Row],[Rising Through Threshold2]],Table156[[#This Row],[Start time2]],R182)</f>
        <v>#DIV/0!</v>
      </c>
      <c r="S183" s="41" t="e">
        <f>IF(AND(Table156[[#This Row],[Rising Through Threshold2]],R182&gt;0),R183-R182,"")</f>
        <v>#DIV/0!</v>
      </c>
      <c r="T183" s="41" t="e">
        <f>IF(Table156[[#This Row],[Voltage2]]&gt;Threshold2,1,0)</f>
        <v>#DIV/0!</v>
      </c>
      <c r="U183" s="41" t="e">
        <f>AND(Table156[[#This Row],[Last2]]&gt;0,Table156[[#This Row],[Last2]]&lt;MAX(Table156[Last2]))</f>
        <v>#DIV/0!</v>
      </c>
      <c r="V183" s="41" t="b">
        <f>OR('Data In'!B189&gt;'Data In'!B188)</f>
        <v>1</v>
      </c>
      <c r="W183" s="41">
        <f>COUNTIF($V$2:V183,"false")</f>
        <v>1</v>
      </c>
      <c r="X183" s="57"/>
    </row>
    <row r="184" spans="1:24" x14ac:dyDescent="0.45">
      <c r="A184" s="1" t="s">
        <v>202</v>
      </c>
      <c r="B184" s="1">
        <f t="shared" si="20"/>
        <v>6</v>
      </c>
      <c r="C184" s="1">
        <f t="shared" si="18"/>
        <v>12</v>
      </c>
      <c r="D184" s="1">
        <f t="shared" si="18"/>
        <v>17</v>
      </c>
      <c r="E184" s="1" t="e">
        <f t="shared" si="18"/>
        <v>#VALUE!</v>
      </c>
      <c r="F184" s="3">
        <f>IF(Table156[[#This Row],[seq]]&gt;=Table156[[#Totals],[seq]],'Data In'!B190,"")</f>
        <v>4761.12</v>
      </c>
      <c r="G184" s="4">
        <f>'Data In'!C190</f>
        <v>1.86</v>
      </c>
      <c r="H184" s="3" t="e">
        <f t="shared" si="21"/>
        <v>#VALUE!</v>
      </c>
      <c r="I184" s="1" t="b">
        <f t="shared" si="24"/>
        <v>0</v>
      </c>
      <c r="J184" s="1">
        <f>IF(Table156[[#This Row],[Rising Through Threshold]],Table156[[#This Row],[Start time]],J183)</f>
        <v>4054.8</v>
      </c>
      <c r="K184" s="1" t="str">
        <f>IF(AND(Table156[[#This Row],[Rising Through Threshold]],J183&gt;0),J184-J183,"")</f>
        <v/>
      </c>
      <c r="L184" s="1">
        <f>IF(Table156[[#This Row],[Voltage]]&gt;Threshold,1,0)</f>
        <v>0</v>
      </c>
      <c r="M184" s="1" t="b">
        <f>AND(Table156[[#This Row],[Last]]&gt;0,Table156[[#This Row],[Last]]&lt;MAX(Table156[Last]))</f>
        <v>1</v>
      </c>
      <c r="N184" s="41" t="str">
        <f>'Data In'!D190</f>
        <v>a</v>
      </c>
      <c r="O184" s="41" t="str">
        <f>'Data In'!E190</f>
        <v>a</v>
      </c>
      <c r="P184" s="41" t="e">
        <f t="shared" si="22"/>
        <v>#VALUE!</v>
      </c>
      <c r="Q184" s="41" t="e">
        <f t="shared" si="23"/>
        <v>#DIV/0!</v>
      </c>
      <c r="R184" s="41" t="e">
        <f>IF(Table156[[#This Row],[Rising Through Threshold2]],Table156[[#This Row],[Start time2]],R183)</f>
        <v>#DIV/0!</v>
      </c>
      <c r="S184" s="41" t="e">
        <f>IF(AND(Table156[[#This Row],[Rising Through Threshold2]],R183&gt;0),R184-R183,"")</f>
        <v>#DIV/0!</v>
      </c>
      <c r="T184" s="41" t="e">
        <f>IF(Table156[[#This Row],[Voltage2]]&gt;Threshold2,1,0)</f>
        <v>#DIV/0!</v>
      </c>
      <c r="U184" s="41" t="e">
        <f>AND(Table156[[#This Row],[Last2]]&gt;0,Table156[[#This Row],[Last2]]&lt;MAX(Table156[Last2]))</f>
        <v>#DIV/0!</v>
      </c>
      <c r="V184" s="41" t="b">
        <f>OR('Data In'!B190&gt;'Data In'!B189)</f>
        <v>1</v>
      </c>
      <c r="W184" s="41">
        <f>COUNTIF($V$2:V184,"false")</f>
        <v>1</v>
      </c>
      <c r="X184" s="57"/>
    </row>
    <row r="185" spans="1:24" x14ac:dyDescent="0.45">
      <c r="A185" s="1" t="s">
        <v>203</v>
      </c>
      <c r="B185" s="1">
        <f t="shared" si="20"/>
        <v>6</v>
      </c>
      <c r="C185" s="1">
        <f t="shared" si="18"/>
        <v>12</v>
      </c>
      <c r="D185" s="1">
        <f t="shared" si="18"/>
        <v>17</v>
      </c>
      <c r="E185" s="1" t="e">
        <f t="shared" si="18"/>
        <v>#VALUE!</v>
      </c>
      <c r="F185" s="3">
        <f>IF(Table156[[#This Row],[seq]]&gt;=Table156[[#Totals],[seq]],'Data In'!B191,"")</f>
        <v>4787.28</v>
      </c>
      <c r="G185" s="4">
        <f>'Data In'!C191</f>
        <v>2.1</v>
      </c>
      <c r="H185" s="3" t="e">
        <f t="shared" si="21"/>
        <v>#VALUE!</v>
      </c>
      <c r="I185" s="1" t="b">
        <f t="shared" si="24"/>
        <v>0</v>
      </c>
      <c r="J185" s="1">
        <f>IF(Table156[[#This Row],[Rising Through Threshold]],Table156[[#This Row],[Start time]],J184)</f>
        <v>4054.8</v>
      </c>
      <c r="K185" s="1" t="str">
        <f>IF(AND(Table156[[#This Row],[Rising Through Threshold]],J184&gt;0),J185-J184,"")</f>
        <v/>
      </c>
      <c r="L185" s="1">
        <f>IF(Table156[[#This Row],[Voltage]]&gt;Threshold,1,0)</f>
        <v>0</v>
      </c>
      <c r="M185" s="1" t="b">
        <f>AND(Table156[[#This Row],[Last]]&gt;0,Table156[[#This Row],[Last]]&lt;MAX(Table156[Last]))</f>
        <v>1</v>
      </c>
      <c r="N185" s="41" t="str">
        <f>'Data In'!D191</f>
        <v>a</v>
      </c>
      <c r="O185" s="41" t="str">
        <f>'Data In'!E191</f>
        <v>a</v>
      </c>
      <c r="P185" s="41" t="e">
        <f t="shared" si="22"/>
        <v>#VALUE!</v>
      </c>
      <c r="Q185" s="41" t="e">
        <f t="shared" si="23"/>
        <v>#DIV/0!</v>
      </c>
      <c r="R185" s="41" t="e">
        <f>IF(Table156[[#This Row],[Rising Through Threshold2]],Table156[[#This Row],[Start time2]],R184)</f>
        <v>#DIV/0!</v>
      </c>
      <c r="S185" s="41" t="e">
        <f>IF(AND(Table156[[#This Row],[Rising Through Threshold2]],R184&gt;0),R185-R184,"")</f>
        <v>#DIV/0!</v>
      </c>
      <c r="T185" s="41" t="e">
        <f>IF(Table156[[#This Row],[Voltage2]]&gt;Threshold2,1,0)</f>
        <v>#DIV/0!</v>
      </c>
      <c r="U185" s="41" t="e">
        <f>AND(Table156[[#This Row],[Last2]]&gt;0,Table156[[#This Row],[Last2]]&lt;MAX(Table156[Last2]))</f>
        <v>#DIV/0!</v>
      </c>
      <c r="V185" s="41" t="b">
        <f>OR('Data In'!B191&gt;'Data In'!B190)</f>
        <v>1</v>
      </c>
      <c r="W185" s="41">
        <f>COUNTIF($V$2:V185,"false")</f>
        <v>1</v>
      </c>
      <c r="X185" s="57"/>
    </row>
    <row r="186" spans="1:24" x14ac:dyDescent="0.45">
      <c r="A186" s="1" t="s">
        <v>204</v>
      </c>
      <c r="B186" s="1">
        <f t="shared" si="20"/>
        <v>6</v>
      </c>
      <c r="C186" s="1">
        <f t="shared" si="18"/>
        <v>12</v>
      </c>
      <c r="D186" s="1">
        <f t="shared" si="18"/>
        <v>17</v>
      </c>
      <c r="E186" s="1" t="e">
        <f t="shared" si="18"/>
        <v>#VALUE!</v>
      </c>
      <c r="F186" s="3">
        <f>IF(Table156[[#This Row],[seq]]&gt;=Table156[[#Totals],[seq]],'Data In'!B192,"")</f>
        <v>4813.4399999999996</v>
      </c>
      <c r="G186" s="4">
        <f>'Data In'!C192</f>
        <v>2.33</v>
      </c>
      <c r="H186" s="3" t="e">
        <f t="shared" si="21"/>
        <v>#VALUE!</v>
      </c>
      <c r="I186" s="1" t="b">
        <f t="shared" si="24"/>
        <v>1</v>
      </c>
      <c r="J186" s="1">
        <f>IF(Table156[[#This Row],[Rising Through Threshold]],Table156[[#This Row],[Start time]],J185)</f>
        <v>4813.4399999999996</v>
      </c>
      <c r="K186" s="1">
        <f>IF(AND(Table156[[#This Row],[Rising Through Threshold]],J185&gt;0),J186-J185,"")</f>
        <v>758.63999999999942</v>
      </c>
      <c r="L186" s="1">
        <f>IF(Table156[[#This Row],[Voltage]]&gt;Threshold,1,0)</f>
        <v>1</v>
      </c>
      <c r="M186" s="1" t="b">
        <f>AND(Table156[[#This Row],[Last]]&gt;0,Table156[[#This Row],[Last]]&lt;MAX(Table156[Last]))</f>
        <v>0</v>
      </c>
      <c r="N186" s="41" t="str">
        <f>'Data In'!D192</f>
        <v>a</v>
      </c>
      <c r="O186" s="41" t="str">
        <f>'Data In'!E192</f>
        <v>a</v>
      </c>
      <c r="P186" s="41">
        <f t="shared" si="22"/>
        <v>0</v>
      </c>
      <c r="Q186" s="41" t="e">
        <f t="shared" si="23"/>
        <v>#DIV/0!</v>
      </c>
      <c r="R186" s="41" t="e">
        <f>IF(Table156[[#This Row],[Rising Through Threshold2]],Table156[[#This Row],[Start time2]],R185)</f>
        <v>#DIV/0!</v>
      </c>
      <c r="S186" s="41" t="e">
        <f>IF(AND(Table156[[#This Row],[Rising Through Threshold2]],R185&gt;0),R186-R185,"")</f>
        <v>#DIV/0!</v>
      </c>
      <c r="T186" s="41" t="e">
        <f>IF(Table156[[#This Row],[Voltage2]]&gt;Threshold2,1,0)</f>
        <v>#DIV/0!</v>
      </c>
      <c r="U186" s="41" t="e">
        <f>AND(Table156[[#This Row],[Last2]]&gt;0,Table156[[#This Row],[Last2]]&lt;MAX(Table156[Last2]))</f>
        <v>#DIV/0!</v>
      </c>
      <c r="V186" s="41" t="b">
        <f>OR('Data In'!B192&gt;'Data In'!B191)</f>
        <v>1</v>
      </c>
      <c r="W186" s="41">
        <f>COUNTIF($V$2:V186,"false")</f>
        <v>1</v>
      </c>
      <c r="X186" s="57"/>
    </row>
    <row r="187" spans="1:24" x14ac:dyDescent="0.45">
      <c r="A187" s="1" t="s">
        <v>205</v>
      </c>
      <c r="B187" s="1">
        <f t="shared" si="20"/>
        <v>6</v>
      </c>
      <c r="C187" s="1">
        <f t="shared" si="18"/>
        <v>12</v>
      </c>
      <c r="D187" s="1">
        <f t="shared" si="18"/>
        <v>17</v>
      </c>
      <c r="E187" s="1" t="e">
        <f t="shared" si="18"/>
        <v>#VALUE!</v>
      </c>
      <c r="F187" s="3">
        <f>IF(Table156[[#This Row],[seq]]&gt;=Table156[[#Totals],[seq]],'Data In'!B193,"")</f>
        <v>4839.6000000000004</v>
      </c>
      <c r="G187" s="4">
        <f>'Data In'!C193</f>
        <v>2.5499999999999998</v>
      </c>
      <c r="H187" s="3" t="e">
        <f t="shared" si="21"/>
        <v>#VALUE!</v>
      </c>
      <c r="I187" s="1" t="b">
        <f t="shared" si="24"/>
        <v>0</v>
      </c>
      <c r="J187" s="1">
        <f>IF(Table156[[#This Row],[Rising Through Threshold]],Table156[[#This Row],[Start time]],J186)</f>
        <v>4813.4399999999996</v>
      </c>
      <c r="K187" s="1" t="str">
        <f>IF(AND(Table156[[#This Row],[Rising Through Threshold]],J186&gt;0),J187-J186,"")</f>
        <v/>
      </c>
      <c r="L187" s="1">
        <f>IF(Table156[[#This Row],[Voltage]]&gt;Threshold,1,0)</f>
        <v>1</v>
      </c>
      <c r="M187" s="1" t="b">
        <f>AND(Table156[[#This Row],[Last]]&gt;0,Table156[[#This Row],[Last]]&lt;MAX(Table156[Last]))</f>
        <v>0</v>
      </c>
      <c r="N187" s="41" t="str">
        <f>'Data In'!D193</f>
        <v>a</v>
      </c>
      <c r="O187" s="41" t="str">
        <f>'Data In'!E193</f>
        <v>a</v>
      </c>
      <c r="P187" s="41" t="e">
        <f t="shared" si="22"/>
        <v>#VALUE!</v>
      </c>
      <c r="Q187" s="41" t="e">
        <f t="shared" si="23"/>
        <v>#DIV/0!</v>
      </c>
      <c r="R187" s="41" t="e">
        <f>IF(Table156[[#This Row],[Rising Through Threshold2]],Table156[[#This Row],[Start time2]],R186)</f>
        <v>#DIV/0!</v>
      </c>
      <c r="S187" s="41" t="e">
        <f>IF(AND(Table156[[#This Row],[Rising Through Threshold2]],R186&gt;0),R187-R186,"")</f>
        <v>#DIV/0!</v>
      </c>
      <c r="T187" s="41" t="e">
        <f>IF(Table156[[#This Row],[Voltage2]]&gt;Threshold2,1,0)</f>
        <v>#DIV/0!</v>
      </c>
      <c r="U187" s="41" t="e">
        <f>AND(Table156[[#This Row],[Last2]]&gt;0,Table156[[#This Row],[Last2]]&lt;MAX(Table156[Last2]))</f>
        <v>#DIV/0!</v>
      </c>
      <c r="V187" s="41" t="b">
        <f>OR('Data In'!B193&gt;'Data In'!B192)</f>
        <v>1</v>
      </c>
      <c r="W187" s="41">
        <f>COUNTIF($V$2:V187,"false")</f>
        <v>1</v>
      </c>
      <c r="X187" s="57"/>
    </row>
    <row r="188" spans="1:24" x14ac:dyDescent="0.45">
      <c r="A188" s="1" t="s">
        <v>206</v>
      </c>
      <c r="B188" s="1">
        <f t="shared" si="20"/>
        <v>6</v>
      </c>
      <c r="C188" s="1">
        <f t="shared" si="18"/>
        <v>12</v>
      </c>
      <c r="D188" s="1">
        <f t="shared" si="18"/>
        <v>17</v>
      </c>
      <c r="E188" s="1" t="e">
        <f t="shared" si="18"/>
        <v>#VALUE!</v>
      </c>
      <c r="F188" s="3">
        <f>IF(Table156[[#This Row],[seq]]&gt;=Table156[[#Totals],[seq]],'Data In'!B194,"")</f>
        <v>4865.76</v>
      </c>
      <c r="G188" s="4">
        <f>'Data In'!C194</f>
        <v>2.73</v>
      </c>
      <c r="H188" s="3" t="e">
        <f t="shared" si="21"/>
        <v>#VALUE!</v>
      </c>
      <c r="I188" s="1" t="b">
        <f t="shared" si="24"/>
        <v>0</v>
      </c>
      <c r="J188" s="1">
        <f>IF(Table156[[#This Row],[Rising Through Threshold]],Table156[[#This Row],[Start time]],J187)</f>
        <v>4813.4399999999996</v>
      </c>
      <c r="K188" s="1" t="str">
        <f>IF(AND(Table156[[#This Row],[Rising Through Threshold]],J187&gt;0),J188-J187,"")</f>
        <v/>
      </c>
      <c r="L188" s="1">
        <f>IF(Table156[[#This Row],[Voltage]]&gt;Threshold,1,0)</f>
        <v>1</v>
      </c>
      <c r="M188" s="1" t="b">
        <f>AND(Table156[[#This Row],[Last]]&gt;0,Table156[[#This Row],[Last]]&lt;MAX(Table156[Last]))</f>
        <v>0</v>
      </c>
      <c r="N188" s="41" t="str">
        <f>'Data In'!D194</f>
        <v>a</v>
      </c>
      <c r="O188" s="41" t="str">
        <f>'Data In'!E194</f>
        <v>a</v>
      </c>
      <c r="P188" s="41" t="e">
        <f t="shared" si="22"/>
        <v>#VALUE!</v>
      </c>
      <c r="Q188" s="41" t="e">
        <f t="shared" si="23"/>
        <v>#DIV/0!</v>
      </c>
      <c r="R188" s="41" t="e">
        <f>IF(Table156[[#This Row],[Rising Through Threshold2]],Table156[[#This Row],[Start time2]],R187)</f>
        <v>#DIV/0!</v>
      </c>
      <c r="S188" s="41" t="e">
        <f>IF(AND(Table156[[#This Row],[Rising Through Threshold2]],R187&gt;0),R188-R187,"")</f>
        <v>#DIV/0!</v>
      </c>
      <c r="T188" s="41" t="e">
        <f>IF(Table156[[#This Row],[Voltage2]]&gt;Threshold2,1,0)</f>
        <v>#DIV/0!</v>
      </c>
      <c r="U188" s="41" t="e">
        <f>AND(Table156[[#This Row],[Last2]]&gt;0,Table156[[#This Row],[Last2]]&lt;MAX(Table156[Last2]))</f>
        <v>#DIV/0!</v>
      </c>
      <c r="V188" s="41" t="b">
        <f>OR('Data In'!B194&gt;'Data In'!B193)</f>
        <v>1</v>
      </c>
      <c r="W188" s="41">
        <f>COUNTIF($V$2:V188,"false")</f>
        <v>1</v>
      </c>
      <c r="X188" s="57"/>
    </row>
    <row r="189" spans="1:24" x14ac:dyDescent="0.45">
      <c r="A189" s="1" t="s">
        <v>207</v>
      </c>
      <c r="B189" s="1">
        <f t="shared" si="20"/>
        <v>6</v>
      </c>
      <c r="C189" s="1">
        <f t="shared" si="18"/>
        <v>12</v>
      </c>
      <c r="D189" s="1">
        <f t="shared" si="18"/>
        <v>17</v>
      </c>
      <c r="E189" s="1" t="e">
        <f t="shared" si="18"/>
        <v>#VALUE!</v>
      </c>
      <c r="F189" s="3">
        <f>IF(Table156[[#This Row],[seq]]&gt;=Table156[[#Totals],[seq]],'Data In'!B195,"")</f>
        <v>4891.92</v>
      </c>
      <c r="G189" s="4">
        <f>'Data In'!C195</f>
        <v>2.9</v>
      </c>
      <c r="H189" s="3" t="e">
        <f t="shared" si="21"/>
        <v>#VALUE!</v>
      </c>
      <c r="I189" s="1" t="b">
        <f t="shared" si="24"/>
        <v>0</v>
      </c>
      <c r="J189" s="1">
        <f>IF(Table156[[#This Row],[Rising Through Threshold]],Table156[[#This Row],[Start time]],J188)</f>
        <v>4813.4399999999996</v>
      </c>
      <c r="K189" s="1" t="str">
        <f>IF(AND(Table156[[#This Row],[Rising Through Threshold]],J188&gt;0),J189-J188,"")</f>
        <v/>
      </c>
      <c r="L189" s="1">
        <f>IF(Table156[[#This Row],[Voltage]]&gt;Threshold,1,0)</f>
        <v>1</v>
      </c>
      <c r="M189" s="1" t="b">
        <f>AND(Table156[[#This Row],[Last]]&gt;0,Table156[[#This Row],[Last]]&lt;MAX(Table156[Last]))</f>
        <v>0</v>
      </c>
      <c r="N189" s="41" t="str">
        <f>'Data In'!D195</f>
        <v>a</v>
      </c>
      <c r="O189" s="41" t="str">
        <f>'Data In'!E195</f>
        <v>a</v>
      </c>
      <c r="P189" s="41" t="e">
        <f t="shared" si="22"/>
        <v>#VALUE!</v>
      </c>
      <c r="Q189" s="41" t="e">
        <f t="shared" si="23"/>
        <v>#DIV/0!</v>
      </c>
      <c r="R189" s="41" t="e">
        <f>IF(Table156[[#This Row],[Rising Through Threshold2]],Table156[[#This Row],[Start time2]],R188)</f>
        <v>#DIV/0!</v>
      </c>
      <c r="S189" s="41" t="e">
        <f>IF(AND(Table156[[#This Row],[Rising Through Threshold2]],R188&gt;0),R189-R188,"")</f>
        <v>#DIV/0!</v>
      </c>
      <c r="T189" s="41" t="e">
        <f>IF(Table156[[#This Row],[Voltage2]]&gt;Threshold2,1,0)</f>
        <v>#DIV/0!</v>
      </c>
      <c r="U189" s="41" t="e">
        <f>AND(Table156[[#This Row],[Last2]]&gt;0,Table156[[#This Row],[Last2]]&lt;MAX(Table156[Last2]))</f>
        <v>#DIV/0!</v>
      </c>
      <c r="V189" s="41" t="b">
        <f>OR('Data In'!B195&gt;'Data In'!B194)</f>
        <v>1</v>
      </c>
      <c r="W189" s="41">
        <f>COUNTIF($V$2:V189,"false")</f>
        <v>1</v>
      </c>
      <c r="X189" s="57"/>
    </row>
    <row r="190" spans="1:24" x14ac:dyDescent="0.45">
      <c r="A190" s="1" t="s">
        <v>208</v>
      </c>
      <c r="B190" s="1">
        <f t="shared" si="20"/>
        <v>6</v>
      </c>
      <c r="C190" s="1">
        <f t="shared" si="18"/>
        <v>12</v>
      </c>
      <c r="D190" s="1">
        <f t="shared" si="18"/>
        <v>17</v>
      </c>
      <c r="E190" s="1" t="e">
        <f t="shared" si="18"/>
        <v>#VALUE!</v>
      </c>
      <c r="F190" s="3">
        <f>IF(Table156[[#This Row],[seq]]&gt;=Table156[[#Totals],[seq]],'Data In'!B196,"")</f>
        <v>4918.8</v>
      </c>
      <c r="G190" s="4">
        <f>'Data In'!C196</f>
        <v>3.06</v>
      </c>
      <c r="H190" s="3" t="e">
        <f t="shared" si="21"/>
        <v>#VALUE!</v>
      </c>
      <c r="I190" s="1" t="b">
        <f t="shared" si="24"/>
        <v>0</v>
      </c>
      <c r="J190" s="1">
        <f>IF(Table156[[#This Row],[Rising Through Threshold]],Table156[[#This Row],[Start time]],J189)</f>
        <v>4813.4399999999996</v>
      </c>
      <c r="K190" s="1" t="str">
        <f>IF(AND(Table156[[#This Row],[Rising Through Threshold]],J189&gt;0),J190-J189,"")</f>
        <v/>
      </c>
      <c r="L190" s="1">
        <f>IF(Table156[[#This Row],[Voltage]]&gt;Threshold,1,0)</f>
        <v>1</v>
      </c>
      <c r="M190" s="1" t="b">
        <f>AND(Table156[[#This Row],[Last]]&gt;0,Table156[[#This Row],[Last]]&lt;MAX(Table156[Last]))</f>
        <v>0</v>
      </c>
      <c r="N190" s="41" t="str">
        <f>'Data In'!D196</f>
        <v>a</v>
      </c>
      <c r="O190" s="41" t="str">
        <f>'Data In'!E196</f>
        <v>a</v>
      </c>
      <c r="P190" s="41" t="e">
        <f t="shared" si="22"/>
        <v>#VALUE!</v>
      </c>
      <c r="Q190" s="41" t="e">
        <f t="shared" si="23"/>
        <v>#DIV/0!</v>
      </c>
      <c r="R190" s="41" t="e">
        <f>IF(Table156[[#This Row],[Rising Through Threshold2]],Table156[[#This Row],[Start time2]],R189)</f>
        <v>#DIV/0!</v>
      </c>
      <c r="S190" s="41" t="e">
        <f>IF(AND(Table156[[#This Row],[Rising Through Threshold2]],R189&gt;0),R190-R189,"")</f>
        <v>#DIV/0!</v>
      </c>
      <c r="T190" s="41" t="e">
        <f>IF(Table156[[#This Row],[Voltage2]]&gt;Threshold2,1,0)</f>
        <v>#DIV/0!</v>
      </c>
      <c r="U190" s="41" t="e">
        <f>AND(Table156[[#This Row],[Last2]]&gt;0,Table156[[#This Row],[Last2]]&lt;MAX(Table156[Last2]))</f>
        <v>#DIV/0!</v>
      </c>
      <c r="V190" s="41" t="b">
        <f>OR('Data In'!B196&gt;'Data In'!B195)</f>
        <v>1</v>
      </c>
      <c r="W190" s="41">
        <f>COUNTIF($V$2:V190,"false")</f>
        <v>1</v>
      </c>
      <c r="X190" s="57"/>
    </row>
    <row r="191" spans="1:24" x14ac:dyDescent="0.45">
      <c r="A191" s="1" t="s">
        <v>209</v>
      </c>
      <c r="B191" s="1">
        <f t="shared" si="20"/>
        <v>6</v>
      </c>
      <c r="C191" s="1">
        <f t="shared" si="18"/>
        <v>12</v>
      </c>
      <c r="D191" s="1">
        <f t="shared" si="18"/>
        <v>17</v>
      </c>
      <c r="E191" s="1" t="e">
        <f t="shared" si="18"/>
        <v>#VALUE!</v>
      </c>
      <c r="F191" s="3">
        <f>IF(Table156[[#This Row],[seq]]&gt;=Table156[[#Totals],[seq]],'Data In'!B197,"")</f>
        <v>4944.24</v>
      </c>
      <c r="G191" s="4">
        <f>'Data In'!C197</f>
        <v>3.2</v>
      </c>
      <c r="H191" s="3" t="e">
        <f t="shared" si="21"/>
        <v>#VALUE!</v>
      </c>
      <c r="I191" s="1" t="b">
        <f t="shared" si="24"/>
        <v>0</v>
      </c>
      <c r="J191" s="1">
        <f>IF(Table156[[#This Row],[Rising Through Threshold]],Table156[[#This Row],[Start time]],J190)</f>
        <v>4813.4399999999996</v>
      </c>
      <c r="K191" s="1" t="str">
        <f>IF(AND(Table156[[#This Row],[Rising Through Threshold]],J190&gt;0),J191-J190,"")</f>
        <v/>
      </c>
      <c r="L191" s="1">
        <f>IF(Table156[[#This Row],[Voltage]]&gt;Threshold,1,0)</f>
        <v>1</v>
      </c>
      <c r="M191" s="1" t="b">
        <f>AND(Table156[[#This Row],[Last]]&gt;0,Table156[[#This Row],[Last]]&lt;MAX(Table156[Last]))</f>
        <v>0</v>
      </c>
      <c r="N191" s="41" t="str">
        <f>'Data In'!D197</f>
        <v>a</v>
      </c>
      <c r="O191" s="41" t="str">
        <f>'Data In'!E197</f>
        <v>a</v>
      </c>
      <c r="P191" s="41" t="e">
        <f t="shared" si="22"/>
        <v>#VALUE!</v>
      </c>
      <c r="Q191" s="41" t="e">
        <f t="shared" si="23"/>
        <v>#DIV/0!</v>
      </c>
      <c r="R191" s="41" t="e">
        <f>IF(Table156[[#This Row],[Rising Through Threshold2]],Table156[[#This Row],[Start time2]],R190)</f>
        <v>#DIV/0!</v>
      </c>
      <c r="S191" s="41" t="e">
        <f>IF(AND(Table156[[#This Row],[Rising Through Threshold2]],R190&gt;0),R191-R190,"")</f>
        <v>#DIV/0!</v>
      </c>
      <c r="T191" s="41" t="e">
        <f>IF(Table156[[#This Row],[Voltage2]]&gt;Threshold2,1,0)</f>
        <v>#DIV/0!</v>
      </c>
      <c r="U191" s="41" t="e">
        <f>AND(Table156[[#This Row],[Last2]]&gt;0,Table156[[#This Row],[Last2]]&lt;MAX(Table156[Last2]))</f>
        <v>#DIV/0!</v>
      </c>
      <c r="V191" s="41" t="b">
        <f>OR('Data In'!B197&gt;'Data In'!B196)</f>
        <v>1</v>
      </c>
      <c r="W191" s="41">
        <f>COUNTIF($V$2:V191,"false")</f>
        <v>1</v>
      </c>
      <c r="X191" s="57"/>
    </row>
    <row r="192" spans="1:24" x14ac:dyDescent="0.45">
      <c r="A192" s="1" t="s">
        <v>210</v>
      </c>
      <c r="B192" s="1">
        <f t="shared" si="20"/>
        <v>6</v>
      </c>
      <c r="C192" s="1">
        <f t="shared" ref="C192:E201" si="25">FIND(":",$A192,B192+1)</f>
        <v>12</v>
      </c>
      <c r="D192" s="1">
        <f t="shared" si="25"/>
        <v>17</v>
      </c>
      <c r="E192" s="1" t="e">
        <f t="shared" si="25"/>
        <v>#VALUE!</v>
      </c>
      <c r="F192" s="3">
        <f>IF(Table156[[#This Row],[seq]]&gt;=Table156[[#Totals],[seq]],'Data In'!B198,"")</f>
        <v>4970.3999999999996</v>
      </c>
      <c r="G192" s="4">
        <f>'Data In'!C198</f>
        <v>3.33</v>
      </c>
      <c r="H192" s="3" t="e">
        <f t="shared" si="21"/>
        <v>#VALUE!</v>
      </c>
      <c r="I192" s="1" t="b">
        <f t="shared" si="24"/>
        <v>0</v>
      </c>
      <c r="J192" s="1">
        <f>IF(Table156[[#This Row],[Rising Through Threshold]],Table156[[#This Row],[Start time]],J191)</f>
        <v>4813.4399999999996</v>
      </c>
      <c r="K192" s="1" t="str">
        <f>IF(AND(Table156[[#This Row],[Rising Through Threshold]],J191&gt;0),J192-J191,"")</f>
        <v/>
      </c>
      <c r="L192" s="1">
        <f>IF(Table156[[#This Row],[Voltage]]&gt;Threshold,1,0)</f>
        <v>1</v>
      </c>
      <c r="M192" s="1" t="b">
        <f>AND(Table156[[#This Row],[Last]]&gt;0,Table156[[#This Row],[Last]]&lt;MAX(Table156[Last]))</f>
        <v>0</v>
      </c>
      <c r="N192" s="41" t="str">
        <f>'Data In'!D198</f>
        <v>a</v>
      </c>
      <c r="O192" s="41" t="str">
        <f>'Data In'!E198</f>
        <v>a</v>
      </c>
      <c r="P192" s="41" t="e">
        <f t="shared" si="22"/>
        <v>#VALUE!</v>
      </c>
      <c r="Q192" s="41" t="e">
        <f t="shared" si="23"/>
        <v>#DIV/0!</v>
      </c>
      <c r="R192" s="41" t="e">
        <f>IF(Table156[[#This Row],[Rising Through Threshold2]],Table156[[#This Row],[Start time2]],R191)</f>
        <v>#DIV/0!</v>
      </c>
      <c r="S192" s="41" t="e">
        <f>IF(AND(Table156[[#This Row],[Rising Through Threshold2]],R191&gt;0),R192-R191,"")</f>
        <v>#DIV/0!</v>
      </c>
      <c r="T192" s="41" t="e">
        <f>IF(Table156[[#This Row],[Voltage2]]&gt;Threshold2,1,0)</f>
        <v>#DIV/0!</v>
      </c>
      <c r="U192" s="41" t="e">
        <f>AND(Table156[[#This Row],[Last2]]&gt;0,Table156[[#This Row],[Last2]]&lt;MAX(Table156[Last2]))</f>
        <v>#DIV/0!</v>
      </c>
      <c r="V192" s="41" t="b">
        <f>OR('Data In'!B198&gt;'Data In'!B197)</f>
        <v>1</v>
      </c>
      <c r="W192" s="41">
        <f>COUNTIF($V$2:V192,"false")</f>
        <v>1</v>
      </c>
      <c r="X192" s="57"/>
    </row>
    <row r="193" spans="1:24" x14ac:dyDescent="0.45">
      <c r="A193" s="1" t="s">
        <v>211</v>
      </c>
      <c r="B193" s="1">
        <f t="shared" si="20"/>
        <v>6</v>
      </c>
      <c r="C193" s="1">
        <f t="shared" si="25"/>
        <v>12</v>
      </c>
      <c r="D193" s="1">
        <f t="shared" si="25"/>
        <v>17</v>
      </c>
      <c r="E193" s="1" t="e">
        <f t="shared" si="25"/>
        <v>#VALUE!</v>
      </c>
      <c r="F193" s="3">
        <f>IF(Table156[[#This Row],[seq]]&gt;=Table156[[#Totals],[seq]],'Data In'!B199,"")</f>
        <v>4996.5600000000004</v>
      </c>
      <c r="G193" s="4">
        <f>'Data In'!C199</f>
        <v>3.45</v>
      </c>
      <c r="H193" s="3" t="e">
        <f t="shared" si="21"/>
        <v>#VALUE!</v>
      </c>
      <c r="I193" s="1" t="b">
        <f t="shared" si="24"/>
        <v>0</v>
      </c>
      <c r="J193" s="1">
        <f>IF(Table156[[#This Row],[Rising Through Threshold]],Table156[[#This Row],[Start time]],J192)</f>
        <v>4813.4399999999996</v>
      </c>
      <c r="K193" s="1" t="str">
        <f>IF(AND(Table156[[#This Row],[Rising Through Threshold]],J192&gt;0),J193-J192,"")</f>
        <v/>
      </c>
      <c r="L193" s="1">
        <f>IF(Table156[[#This Row],[Voltage]]&gt;Threshold,1,0)</f>
        <v>1</v>
      </c>
      <c r="M193" s="1" t="b">
        <f>AND(Table156[[#This Row],[Last]]&gt;0,Table156[[#This Row],[Last]]&lt;MAX(Table156[Last]))</f>
        <v>0</v>
      </c>
      <c r="N193" s="41" t="str">
        <f>'Data In'!D199</f>
        <v>a</v>
      </c>
      <c r="O193" s="41" t="str">
        <f>'Data In'!E199</f>
        <v>a</v>
      </c>
      <c r="P193" s="41" t="e">
        <f t="shared" si="22"/>
        <v>#VALUE!</v>
      </c>
      <c r="Q193" s="41" t="e">
        <f t="shared" si="23"/>
        <v>#DIV/0!</v>
      </c>
      <c r="R193" s="41" t="e">
        <f>IF(Table156[[#This Row],[Rising Through Threshold2]],Table156[[#This Row],[Start time2]],R192)</f>
        <v>#DIV/0!</v>
      </c>
      <c r="S193" s="41" t="e">
        <f>IF(AND(Table156[[#This Row],[Rising Through Threshold2]],R192&gt;0),R193-R192,"")</f>
        <v>#DIV/0!</v>
      </c>
      <c r="T193" s="41" t="e">
        <f>IF(Table156[[#This Row],[Voltage2]]&gt;Threshold2,1,0)</f>
        <v>#DIV/0!</v>
      </c>
      <c r="U193" s="41" t="e">
        <f>AND(Table156[[#This Row],[Last2]]&gt;0,Table156[[#This Row],[Last2]]&lt;MAX(Table156[Last2]))</f>
        <v>#DIV/0!</v>
      </c>
      <c r="V193" s="41" t="b">
        <f>OR('Data In'!B199&gt;'Data In'!B198)</f>
        <v>1</v>
      </c>
      <c r="W193" s="41">
        <f>COUNTIF($V$2:V193,"false")</f>
        <v>1</v>
      </c>
      <c r="X193" s="57"/>
    </row>
    <row r="194" spans="1:24" x14ac:dyDescent="0.45">
      <c r="A194" s="1" t="s">
        <v>212</v>
      </c>
      <c r="B194" s="1">
        <f t="shared" si="20"/>
        <v>6</v>
      </c>
      <c r="C194" s="1">
        <f t="shared" si="25"/>
        <v>12</v>
      </c>
      <c r="D194" s="1">
        <f t="shared" si="25"/>
        <v>17</v>
      </c>
      <c r="E194" s="1" t="e">
        <f t="shared" si="25"/>
        <v>#VALUE!</v>
      </c>
      <c r="F194" s="3">
        <f>IF(Table156[[#This Row],[seq]]&gt;=Table156[[#Totals],[seq]],'Data In'!B200,"")</f>
        <v>5022.72</v>
      </c>
      <c r="G194" s="4">
        <f>'Data In'!C200</f>
        <v>3.55</v>
      </c>
      <c r="H194" s="3" t="e">
        <f t="shared" si="21"/>
        <v>#VALUE!</v>
      </c>
      <c r="I194" s="1" t="b">
        <f t="shared" si="24"/>
        <v>0</v>
      </c>
      <c r="J194" s="1">
        <f>IF(Table156[[#This Row],[Rising Through Threshold]],Table156[[#This Row],[Start time]],J193)</f>
        <v>4813.4399999999996</v>
      </c>
      <c r="K194" s="1" t="str">
        <f>IF(AND(Table156[[#This Row],[Rising Through Threshold]],J193&gt;0),J194-J193,"")</f>
        <v/>
      </c>
      <c r="L194" s="1">
        <f>IF(Table156[[#This Row],[Voltage]]&gt;Threshold,1,0)</f>
        <v>1</v>
      </c>
      <c r="M194" s="1" t="b">
        <f>AND(Table156[[#This Row],[Last]]&gt;0,Table156[[#This Row],[Last]]&lt;MAX(Table156[Last]))</f>
        <v>0</v>
      </c>
      <c r="N194" s="41" t="str">
        <f>'Data In'!D200</f>
        <v>a</v>
      </c>
      <c r="O194" s="41" t="str">
        <f>'Data In'!E200</f>
        <v>a</v>
      </c>
      <c r="P194" s="41" t="e">
        <f t="shared" si="22"/>
        <v>#VALUE!</v>
      </c>
      <c r="Q194" s="41" t="e">
        <f t="shared" ref="Q194:Q201" si="26">AND(O193&lt;Threshold2,O194&gt;Threshold2)</f>
        <v>#DIV/0!</v>
      </c>
      <c r="R194" s="41" t="e">
        <f>IF(Table156[[#This Row],[Rising Through Threshold2]],Table156[[#This Row],[Start time2]],R193)</f>
        <v>#DIV/0!</v>
      </c>
      <c r="S194" s="41" t="e">
        <f>IF(AND(Table156[[#This Row],[Rising Through Threshold2]],R193&gt;0),R194-R193,"")</f>
        <v>#DIV/0!</v>
      </c>
      <c r="T194" s="41" t="e">
        <f>IF(Table156[[#This Row],[Voltage2]]&gt;Threshold2,1,0)</f>
        <v>#DIV/0!</v>
      </c>
      <c r="U194" s="41" t="e">
        <f>AND(Table156[[#This Row],[Last2]]&gt;0,Table156[[#This Row],[Last2]]&lt;MAX(Table156[Last2]))</f>
        <v>#DIV/0!</v>
      </c>
      <c r="V194" s="41" t="b">
        <f>OR('Data In'!B200&gt;'Data In'!B199)</f>
        <v>1</v>
      </c>
      <c r="W194" s="41">
        <f>COUNTIF($V$2:V194,"false")</f>
        <v>1</v>
      </c>
      <c r="X194" s="57"/>
    </row>
    <row r="195" spans="1:24" x14ac:dyDescent="0.45">
      <c r="A195" s="1" t="s">
        <v>213</v>
      </c>
      <c r="B195" s="1">
        <f t="shared" ref="B195:B201" si="27">FIND(":",$A195,1)</f>
        <v>6</v>
      </c>
      <c r="C195" s="1">
        <f t="shared" si="25"/>
        <v>12</v>
      </c>
      <c r="D195" s="1">
        <f t="shared" si="25"/>
        <v>17</v>
      </c>
      <c r="E195" s="1" t="e">
        <f t="shared" si="25"/>
        <v>#VALUE!</v>
      </c>
      <c r="F195" s="3">
        <f>IF(Table156[[#This Row],[seq]]&gt;=Table156[[#Totals],[seq]],'Data In'!B201,"")</f>
        <v>5048.88</v>
      </c>
      <c r="G195" s="4">
        <f>'Data In'!C201</f>
        <v>3.63</v>
      </c>
      <c r="H195" s="3" t="e">
        <f t="shared" ref="H195:H201" si="28">_xlfn.NUMBERVALUE(MID($A195,E195+1,1000))</f>
        <v>#VALUE!</v>
      </c>
      <c r="I195" s="1" t="b">
        <f t="shared" si="24"/>
        <v>0</v>
      </c>
      <c r="J195" s="1">
        <f>IF(Table156[[#This Row],[Rising Through Threshold]],Table156[[#This Row],[Start time]],J194)</f>
        <v>4813.4399999999996</v>
      </c>
      <c r="K195" s="1" t="str">
        <f>IF(AND(Table156[[#This Row],[Rising Through Threshold]],J194&gt;0),J195-J194,"")</f>
        <v/>
      </c>
      <c r="L195" s="1">
        <f>IF(Table156[[#This Row],[Voltage]]&gt;Threshold,1,0)</f>
        <v>1</v>
      </c>
      <c r="M195" s="1" t="b">
        <f>AND(Table156[[#This Row],[Last]]&gt;0,Table156[[#This Row],[Last]]&lt;MAX(Table156[Last]))</f>
        <v>0</v>
      </c>
      <c r="N195" s="41" t="str">
        <f>'Data In'!D201</f>
        <v>a</v>
      </c>
      <c r="O195" s="41" t="str">
        <f>'Data In'!E201</f>
        <v>a</v>
      </c>
      <c r="P195" s="41" t="e">
        <f t="shared" ref="P195:P201" si="29">_xlfn.NUMBERVALUE(MID($A195,K195+1,1000))</f>
        <v>#VALUE!</v>
      </c>
      <c r="Q195" s="41" t="e">
        <f t="shared" si="26"/>
        <v>#DIV/0!</v>
      </c>
      <c r="R195" s="41" t="e">
        <f>IF(Table156[[#This Row],[Rising Through Threshold2]],Table156[[#This Row],[Start time2]],R194)</f>
        <v>#DIV/0!</v>
      </c>
      <c r="S195" s="41" t="e">
        <f>IF(AND(Table156[[#This Row],[Rising Through Threshold2]],R194&gt;0),R195-R194,"")</f>
        <v>#DIV/0!</v>
      </c>
      <c r="T195" s="41" t="e">
        <f>IF(Table156[[#This Row],[Voltage2]]&gt;Threshold2,1,0)</f>
        <v>#DIV/0!</v>
      </c>
      <c r="U195" s="41" t="e">
        <f>AND(Table156[[#This Row],[Last2]]&gt;0,Table156[[#This Row],[Last2]]&lt;MAX(Table156[Last2]))</f>
        <v>#DIV/0!</v>
      </c>
      <c r="V195" s="41" t="b">
        <f>OR('Data In'!B201&gt;'Data In'!B200)</f>
        <v>1</v>
      </c>
      <c r="W195" s="41">
        <f>COUNTIF($V$2:V195,"false")</f>
        <v>1</v>
      </c>
      <c r="X195" s="57"/>
    </row>
    <row r="196" spans="1:24" x14ac:dyDescent="0.45">
      <c r="A196" s="1" t="s">
        <v>214</v>
      </c>
      <c r="B196" s="1">
        <f t="shared" si="27"/>
        <v>6</v>
      </c>
      <c r="C196" s="1">
        <f t="shared" si="25"/>
        <v>12</v>
      </c>
      <c r="D196" s="1">
        <f t="shared" si="25"/>
        <v>17</v>
      </c>
      <c r="E196" s="1" t="e">
        <f t="shared" si="25"/>
        <v>#VALUE!</v>
      </c>
      <c r="F196" s="3">
        <f>IF(Table156[[#This Row],[seq]]&gt;=Table156[[#Totals],[seq]],'Data In'!B202,"")</f>
        <v>5075.3999999999996</v>
      </c>
      <c r="G196" s="4">
        <f>'Data In'!C202</f>
        <v>3.69</v>
      </c>
      <c r="H196" s="3" t="e">
        <f t="shared" si="28"/>
        <v>#VALUE!</v>
      </c>
      <c r="I196" s="1" t="b">
        <f t="shared" si="24"/>
        <v>0</v>
      </c>
      <c r="J196" s="1">
        <f>IF(Table156[[#This Row],[Rising Through Threshold]],Table156[[#This Row],[Start time]],J195)</f>
        <v>4813.4399999999996</v>
      </c>
      <c r="K196" s="1" t="str">
        <f>IF(AND(Table156[[#This Row],[Rising Through Threshold]],J195&gt;0),J196-J195,"")</f>
        <v/>
      </c>
      <c r="L196" s="1">
        <f>IF(Table156[[#This Row],[Voltage]]&gt;Threshold,1,0)</f>
        <v>1</v>
      </c>
      <c r="M196" s="1" t="b">
        <f>AND(Table156[[#This Row],[Last]]&gt;0,Table156[[#This Row],[Last]]&lt;MAX(Table156[Last]))</f>
        <v>0</v>
      </c>
      <c r="N196" s="41" t="str">
        <f>'Data In'!D202</f>
        <v>a</v>
      </c>
      <c r="O196" s="41" t="str">
        <f>'Data In'!E202</f>
        <v>a</v>
      </c>
      <c r="P196" s="41" t="e">
        <f t="shared" si="29"/>
        <v>#VALUE!</v>
      </c>
      <c r="Q196" s="41" t="e">
        <f t="shared" si="26"/>
        <v>#DIV/0!</v>
      </c>
      <c r="R196" s="41" t="e">
        <f>IF(Table156[[#This Row],[Rising Through Threshold2]],Table156[[#This Row],[Start time2]],R195)</f>
        <v>#DIV/0!</v>
      </c>
      <c r="S196" s="41" t="e">
        <f>IF(AND(Table156[[#This Row],[Rising Through Threshold2]],R195&gt;0),R196-R195,"")</f>
        <v>#DIV/0!</v>
      </c>
      <c r="T196" s="41" t="e">
        <f>IF(Table156[[#This Row],[Voltage2]]&gt;Threshold2,1,0)</f>
        <v>#DIV/0!</v>
      </c>
      <c r="U196" s="41" t="e">
        <f>AND(Table156[[#This Row],[Last2]]&gt;0,Table156[[#This Row],[Last2]]&lt;MAX(Table156[Last2]))</f>
        <v>#DIV/0!</v>
      </c>
      <c r="V196" s="41" t="b">
        <f>OR('Data In'!B202&gt;'Data In'!B201)</f>
        <v>1</v>
      </c>
      <c r="W196" s="41">
        <f>COUNTIF($V$2:V196,"false")</f>
        <v>1</v>
      </c>
      <c r="X196" s="57"/>
    </row>
    <row r="197" spans="1:24" x14ac:dyDescent="0.45">
      <c r="A197" s="1" t="s">
        <v>215</v>
      </c>
      <c r="B197" s="1">
        <f t="shared" si="27"/>
        <v>6</v>
      </c>
      <c r="C197" s="1">
        <f t="shared" si="25"/>
        <v>12</v>
      </c>
      <c r="D197" s="1">
        <f t="shared" si="25"/>
        <v>17</v>
      </c>
      <c r="E197" s="1" t="e">
        <f t="shared" si="25"/>
        <v>#VALUE!</v>
      </c>
      <c r="F197" s="3">
        <f>IF(Table156[[#This Row],[seq]]&gt;=Table156[[#Totals],[seq]],'Data In'!B203,"")</f>
        <v>5101.2</v>
      </c>
      <c r="G197" s="4">
        <f>'Data In'!C203</f>
        <v>3.73</v>
      </c>
      <c r="H197" s="3" t="e">
        <f t="shared" si="28"/>
        <v>#VALUE!</v>
      </c>
      <c r="I197" s="1" t="b">
        <f t="shared" si="24"/>
        <v>0</v>
      </c>
      <c r="J197" s="1">
        <f>IF(Table156[[#This Row],[Rising Through Threshold]],Table156[[#This Row],[Start time]],J196)</f>
        <v>4813.4399999999996</v>
      </c>
      <c r="K197" s="1" t="str">
        <f>IF(AND(Table156[[#This Row],[Rising Through Threshold]],J196&gt;0),J197-J196,"")</f>
        <v/>
      </c>
      <c r="L197" s="1">
        <f>IF(Table156[[#This Row],[Voltage]]&gt;Threshold,1,0)</f>
        <v>1</v>
      </c>
      <c r="M197" s="1" t="b">
        <f>AND(Table156[[#This Row],[Last]]&gt;0,Table156[[#This Row],[Last]]&lt;MAX(Table156[Last]))</f>
        <v>0</v>
      </c>
      <c r="N197" s="41" t="str">
        <f>'Data In'!D203</f>
        <v>a</v>
      </c>
      <c r="O197" s="41" t="str">
        <f>'Data In'!E203</f>
        <v>a</v>
      </c>
      <c r="P197" s="41" t="e">
        <f t="shared" si="29"/>
        <v>#VALUE!</v>
      </c>
      <c r="Q197" s="41" t="e">
        <f t="shared" si="26"/>
        <v>#DIV/0!</v>
      </c>
      <c r="R197" s="41" t="e">
        <f>IF(Table156[[#This Row],[Rising Through Threshold2]],Table156[[#This Row],[Start time2]],R196)</f>
        <v>#DIV/0!</v>
      </c>
      <c r="S197" s="41" t="e">
        <f>IF(AND(Table156[[#This Row],[Rising Through Threshold2]],R196&gt;0),R197-R196,"")</f>
        <v>#DIV/0!</v>
      </c>
      <c r="T197" s="41" t="e">
        <f>IF(Table156[[#This Row],[Voltage2]]&gt;Threshold2,1,0)</f>
        <v>#DIV/0!</v>
      </c>
      <c r="U197" s="41" t="e">
        <f>AND(Table156[[#This Row],[Last2]]&gt;0,Table156[[#This Row],[Last2]]&lt;MAX(Table156[Last2]))</f>
        <v>#DIV/0!</v>
      </c>
      <c r="V197" s="41" t="b">
        <f>OR('Data In'!B203&gt;'Data In'!B202)</f>
        <v>1</v>
      </c>
      <c r="W197" s="41">
        <f>COUNTIF($V$2:V197,"false")</f>
        <v>1</v>
      </c>
      <c r="X197" s="57"/>
    </row>
    <row r="198" spans="1:24" x14ac:dyDescent="0.45">
      <c r="A198" s="1" t="s">
        <v>216</v>
      </c>
      <c r="B198" s="1">
        <f t="shared" si="27"/>
        <v>6</v>
      </c>
      <c r="C198" s="1">
        <f t="shared" si="25"/>
        <v>12</v>
      </c>
      <c r="D198" s="1">
        <f t="shared" si="25"/>
        <v>17</v>
      </c>
      <c r="E198" s="1" t="e">
        <f t="shared" si="25"/>
        <v>#VALUE!</v>
      </c>
      <c r="F198" s="3">
        <f>IF(Table156[[#This Row],[seq]]&gt;=Table156[[#Totals],[seq]],'Data In'!B204,"")</f>
        <v>5127.3599999999997</v>
      </c>
      <c r="G198" s="4">
        <f>'Data In'!C204</f>
        <v>3.71</v>
      </c>
      <c r="H198" s="3" t="e">
        <f t="shared" si="28"/>
        <v>#VALUE!</v>
      </c>
      <c r="I198" s="1" t="b">
        <f t="shared" si="24"/>
        <v>0</v>
      </c>
      <c r="J198" s="1">
        <f>IF(Table156[[#This Row],[Rising Through Threshold]],Table156[[#This Row],[Start time]],J197)</f>
        <v>4813.4399999999996</v>
      </c>
      <c r="K198" s="1" t="str">
        <f>IF(AND(Table156[[#This Row],[Rising Through Threshold]],J197&gt;0),J198-J197,"")</f>
        <v/>
      </c>
      <c r="L198" s="1">
        <f>IF(Table156[[#This Row],[Voltage]]&gt;Threshold,1,0)</f>
        <v>1</v>
      </c>
      <c r="M198" s="1" t="b">
        <f>AND(Table156[[#This Row],[Last]]&gt;0,Table156[[#This Row],[Last]]&lt;MAX(Table156[Last]))</f>
        <v>0</v>
      </c>
      <c r="N198" s="41" t="str">
        <f>'Data In'!D204</f>
        <v>a</v>
      </c>
      <c r="O198" s="41" t="str">
        <f>'Data In'!E204</f>
        <v>a</v>
      </c>
      <c r="P198" s="41" t="e">
        <f t="shared" si="29"/>
        <v>#VALUE!</v>
      </c>
      <c r="Q198" s="41" t="e">
        <f t="shared" si="26"/>
        <v>#DIV/0!</v>
      </c>
      <c r="R198" s="41" t="e">
        <f>IF(Table156[[#This Row],[Rising Through Threshold2]],Table156[[#This Row],[Start time2]],R197)</f>
        <v>#DIV/0!</v>
      </c>
      <c r="S198" s="41" t="e">
        <f>IF(AND(Table156[[#This Row],[Rising Through Threshold2]],R197&gt;0),R198-R197,"")</f>
        <v>#DIV/0!</v>
      </c>
      <c r="T198" s="41" t="e">
        <f>IF(Table156[[#This Row],[Voltage2]]&gt;Threshold2,1,0)</f>
        <v>#DIV/0!</v>
      </c>
      <c r="U198" s="41" t="e">
        <f>AND(Table156[[#This Row],[Last2]]&gt;0,Table156[[#This Row],[Last2]]&lt;MAX(Table156[Last2]))</f>
        <v>#DIV/0!</v>
      </c>
      <c r="V198" s="41" t="b">
        <f>OR('Data In'!B204&gt;'Data In'!B203)</f>
        <v>1</v>
      </c>
      <c r="W198" s="41">
        <f>COUNTIF($V$2:V198,"false")</f>
        <v>1</v>
      </c>
      <c r="X198" s="57"/>
    </row>
    <row r="199" spans="1:24" x14ac:dyDescent="0.45">
      <c r="A199" s="1" t="s">
        <v>217</v>
      </c>
      <c r="B199" s="1">
        <f t="shared" si="27"/>
        <v>6</v>
      </c>
      <c r="C199" s="1">
        <f t="shared" si="25"/>
        <v>12</v>
      </c>
      <c r="D199" s="1">
        <f t="shared" si="25"/>
        <v>17</v>
      </c>
      <c r="E199" s="1" t="e">
        <f t="shared" si="25"/>
        <v>#VALUE!</v>
      </c>
      <c r="F199" s="3">
        <f>IF(Table156[[#This Row],[seq]]&gt;=Table156[[#Totals],[seq]],'Data In'!B205,"")</f>
        <v>5153.5200000000004</v>
      </c>
      <c r="G199" s="4">
        <f>'Data In'!C205</f>
        <v>3.59</v>
      </c>
      <c r="H199" s="3" t="e">
        <f t="shared" si="28"/>
        <v>#VALUE!</v>
      </c>
      <c r="I199" s="1" t="b">
        <f t="shared" si="24"/>
        <v>0</v>
      </c>
      <c r="J199" s="1">
        <f>IF(Table156[[#This Row],[Rising Through Threshold]],Table156[[#This Row],[Start time]],J198)</f>
        <v>4813.4399999999996</v>
      </c>
      <c r="K199" s="1" t="str">
        <f>IF(AND(Table156[[#This Row],[Rising Through Threshold]],J198&gt;0),J199-J198,"")</f>
        <v/>
      </c>
      <c r="L199" s="1">
        <f>IF(Table156[[#This Row],[Voltage]]&gt;Threshold,1,0)</f>
        <v>1</v>
      </c>
      <c r="M199" s="1" t="b">
        <f>AND(Table156[[#This Row],[Last]]&gt;0,Table156[[#This Row],[Last]]&lt;MAX(Table156[Last]))</f>
        <v>0</v>
      </c>
      <c r="N199" s="41" t="str">
        <f>'Data In'!D205</f>
        <v>a</v>
      </c>
      <c r="O199" s="41" t="str">
        <f>'Data In'!E205</f>
        <v>a</v>
      </c>
      <c r="P199" s="41" t="e">
        <f t="shared" si="29"/>
        <v>#VALUE!</v>
      </c>
      <c r="Q199" s="41" t="e">
        <f t="shared" si="26"/>
        <v>#DIV/0!</v>
      </c>
      <c r="R199" s="41" t="e">
        <f>IF(Table156[[#This Row],[Rising Through Threshold2]],Table156[[#This Row],[Start time2]],R198)</f>
        <v>#DIV/0!</v>
      </c>
      <c r="S199" s="41" t="e">
        <f>IF(AND(Table156[[#This Row],[Rising Through Threshold2]],R198&gt;0),R199-R198,"")</f>
        <v>#DIV/0!</v>
      </c>
      <c r="T199" s="41" t="e">
        <f>IF(Table156[[#This Row],[Voltage2]]&gt;Threshold2,1,0)</f>
        <v>#DIV/0!</v>
      </c>
      <c r="U199" s="41" t="e">
        <f>AND(Table156[[#This Row],[Last2]]&gt;0,Table156[[#This Row],[Last2]]&lt;MAX(Table156[Last2]))</f>
        <v>#DIV/0!</v>
      </c>
      <c r="V199" s="41" t="b">
        <f>OR('Data In'!B205&gt;'Data In'!B204)</f>
        <v>1</v>
      </c>
      <c r="W199" s="41">
        <f>COUNTIF($V$2:V199,"false")</f>
        <v>1</v>
      </c>
      <c r="X199" s="57"/>
    </row>
    <row r="200" spans="1:24" x14ac:dyDescent="0.45">
      <c r="A200" s="1" t="s">
        <v>218</v>
      </c>
      <c r="B200" s="1">
        <f t="shared" si="27"/>
        <v>6</v>
      </c>
      <c r="C200" s="1">
        <f t="shared" si="25"/>
        <v>12</v>
      </c>
      <c r="D200" s="1">
        <f t="shared" si="25"/>
        <v>17</v>
      </c>
      <c r="E200" s="1" t="e">
        <f t="shared" si="25"/>
        <v>#VALUE!</v>
      </c>
      <c r="F200" s="3">
        <f>IF(Table156[[#This Row],[seq]]&gt;=Table156[[#Totals],[seq]],'Data In'!B206,"")</f>
        <v>5179.68</v>
      </c>
      <c r="G200" s="4">
        <f>'Data In'!C206</f>
        <v>3.31</v>
      </c>
      <c r="H200" s="3" t="e">
        <f t="shared" si="28"/>
        <v>#VALUE!</v>
      </c>
      <c r="I200" s="1" t="b">
        <f t="shared" si="24"/>
        <v>0</v>
      </c>
      <c r="J200" s="1">
        <f>IF(Table156[[#This Row],[Rising Through Threshold]],Table156[[#This Row],[Start time]],J199)</f>
        <v>4813.4399999999996</v>
      </c>
      <c r="K200" s="1" t="str">
        <f>IF(AND(Table156[[#This Row],[Rising Through Threshold]],J199&gt;0),J200-J199,"")</f>
        <v/>
      </c>
      <c r="L200" s="1">
        <f>IF(Table156[[#This Row],[Voltage]]&gt;Threshold,1,0)</f>
        <v>1</v>
      </c>
      <c r="M200" s="1" t="b">
        <f>AND(Table156[[#This Row],[Last]]&gt;0,Table156[[#This Row],[Last]]&lt;MAX(Table156[Last]))</f>
        <v>0</v>
      </c>
      <c r="N200" s="41" t="str">
        <f>'Data In'!D206</f>
        <v>a</v>
      </c>
      <c r="O200" s="41" t="str">
        <f>'Data In'!E206</f>
        <v>a</v>
      </c>
      <c r="P200" s="41" t="e">
        <f t="shared" si="29"/>
        <v>#VALUE!</v>
      </c>
      <c r="Q200" s="41" t="e">
        <f t="shared" si="26"/>
        <v>#DIV/0!</v>
      </c>
      <c r="R200" s="41" t="e">
        <f>IF(Table156[[#This Row],[Rising Through Threshold2]],Table156[[#This Row],[Start time2]],R199)</f>
        <v>#DIV/0!</v>
      </c>
      <c r="S200" s="41" t="e">
        <f>IF(AND(Table156[[#This Row],[Rising Through Threshold2]],R199&gt;0),R200-R199,"")</f>
        <v>#DIV/0!</v>
      </c>
      <c r="T200" s="41" t="e">
        <f>IF(Table156[[#This Row],[Voltage2]]&gt;Threshold2,1,0)</f>
        <v>#DIV/0!</v>
      </c>
      <c r="U200" s="41" t="e">
        <f>AND(Table156[[#This Row],[Last2]]&gt;0,Table156[[#This Row],[Last2]]&lt;MAX(Table156[Last2]))</f>
        <v>#DIV/0!</v>
      </c>
      <c r="V200" s="41" t="b">
        <f>OR('Data In'!B206&gt;'Data In'!B205)</f>
        <v>1</v>
      </c>
      <c r="W200" s="41">
        <f>COUNTIF($V$2:V200,"false")</f>
        <v>1</v>
      </c>
      <c r="X200" s="57"/>
    </row>
    <row r="201" spans="1:24" x14ac:dyDescent="0.45">
      <c r="A201" s="1" t="s">
        <v>219</v>
      </c>
      <c r="B201" s="1">
        <f t="shared" si="27"/>
        <v>6</v>
      </c>
      <c r="C201" s="1">
        <f t="shared" si="25"/>
        <v>12</v>
      </c>
      <c r="D201" s="1">
        <f t="shared" si="25"/>
        <v>17</v>
      </c>
      <c r="E201" s="1" t="e">
        <f t="shared" si="25"/>
        <v>#VALUE!</v>
      </c>
      <c r="F201" s="3">
        <f>IF(Table156[[#This Row],[seq]]&gt;=Table156[[#Totals],[seq]],'Data In'!B207,"")</f>
        <v>5205.84</v>
      </c>
      <c r="G201" s="4">
        <f>'Data In'!C207</f>
        <v>2.84</v>
      </c>
      <c r="H201" s="3" t="e">
        <f t="shared" si="28"/>
        <v>#VALUE!</v>
      </c>
      <c r="I201" s="1" t="b">
        <f t="shared" si="24"/>
        <v>0</v>
      </c>
      <c r="J201" s="1">
        <f>IF(Table156[[#This Row],[Rising Through Threshold]],Table156[[#This Row],[Start time]],J200)</f>
        <v>4813.4399999999996</v>
      </c>
      <c r="K201" s="1" t="str">
        <f>IF(AND(Table156[[#This Row],[Rising Through Threshold]],J200&gt;0),J201-J200,"")</f>
        <v/>
      </c>
      <c r="L201" s="1">
        <f>IF(Table156[[#This Row],[Voltage]]&gt;Threshold,1,0)</f>
        <v>1</v>
      </c>
      <c r="M201" s="1" t="b">
        <f>AND(Table156[[#This Row],[Last]]&gt;0,Table156[[#This Row],[Last]]&lt;MAX(Table156[Last]))</f>
        <v>0</v>
      </c>
      <c r="N201" s="41" t="str">
        <f>'Data In'!D207</f>
        <v>a</v>
      </c>
      <c r="O201" s="41" t="str">
        <f>'Data In'!E207</f>
        <v>a</v>
      </c>
      <c r="P201" s="41" t="e">
        <f t="shared" si="29"/>
        <v>#VALUE!</v>
      </c>
      <c r="Q201" s="41" t="e">
        <f t="shared" si="26"/>
        <v>#DIV/0!</v>
      </c>
      <c r="R201" s="41" t="e">
        <f>IF(Table156[[#This Row],[Rising Through Threshold2]],Table156[[#This Row],[Start time2]],R200)</f>
        <v>#DIV/0!</v>
      </c>
      <c r="S201" s="41" t="e">
        <f>IF(AND(Table156[[#This Row],[Rising Through Threshold2]],R200&gt;0),R201-R200,"")</f>
        <v>#DIV/0!</v>
      </c>
      <c r="T201" s="41" t="e">
        <f>IF(Table156[[#This Row],[Voltage2]]&gt;Threshold2,1,0)</f>
        <v>#DIV/0!</v>
      </c>
      <c r="U201" s="41" t="e">
        <f>AND(Table156[[#This Row],[Last2]]&gt;0,Table156[[#This Row],[Last2]]&lt;MAX(Table156[Last2]))</f>
        <v>#DIV/0!</v>
      </c>
      <c r="V201" s="41" t="b">
        <f>OR('Data In'!B207&gt;'Data In'!B206)</f>
        <v>1</v>
      </c>
      <c r="W201" s="41">
        <f>COUNTIF($V$2:V201,"false")</f>
        <v>1</v>
      </c>
      <c r="X201" s="57"/>
    </row>
    <row r="202" spans="1:24" x14ac:dyDescent="0.45">
      <c r="A202" s="1" t="s">
        <v>15</v>
      </c>
      <c r="G202" s="4">
        <f>SUBTOTAL(101,Table156[Voltage])</f>
        <v>2.3176000000000001</v>
      </c>
      <c r="K202" s="1">
        <f>SUBTOTAL(101,Table156[Period])</f>
        <v>763</v>
      </c>
      <c r="N202" s="41"/>
      <c r="O202" s="41" t="e">
        <f>SUBTOTAL(101,Table156[Voltage2])</f>
        <v>#DIV/0!</v>
      </c>
      <c r="P202" s="41"/>
      <c r="Q202" s="41"/>
      <c r="R202" s="41"/>
      <c r="S202" s="41" t="e">
        <f>SUBTOTAL(101,Table156[Period2])</f>
        <v>#DIV/0!</v>
      </c>
      <c r="T202" s="41"/>
      <c r="U202" s="41"/>
      <c r="V202" s="41"/>
      <c r="W202" s="41">
        <f>SUBTOTAL(104,Table156[seq])</f>
        <v>1</v>
      </c>
    </row>
  </sheetData>
  <phoneticPr fontId="25" type="noConversion"/>
  <dataValidations count="2">
    <dataValidation type="whole" allowBlank="1" showInputMessage="1" showErrorMessage="1" sqref="AB34" xr:uid="{1E5FC2C6-59FF-451C-A867-84FFA0A0E511}">
      <formula1>2</formula1>
      <formula2>7</formula2>
    </dataValidation>
    <dataValidation type="whole" operator="greaterThan" allowBlank="1" showInputMessage="1" showErrorMessage="1" sqref="AB33" xr:uid="{12896FC1-9A4D-4E1E-8B47-FCCD73E21925}">
      <formula1>2400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13</vt:i4>
      </vt:variant>
    </vt:vector>
  </HeadingPairs>
  <TitlesOfParts>
    <vt:vector size="20" baseType="lpstr">
      <vt:lpstr>DStream</vt:lpstr>
      <vt:lpstr>Sheet1</vt:lpstr>
      <vt:lpstr>Data In</vt:lpstr>
      <vt:lpstr>Data Out</vt:lpstr>
      <vt:lpstr>Settings</vt:lpstr>
      <vt:lpstr>Manifest</vt:lpstr>
      <vt:lpstr>CH2 DStream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  <vt:lpstr>'CH2 DStream'!Threshold</vt:lpstr>
      <vt:lpstr>DStream!Threshold</vt:lpstr>
      <vt:lpstr>Threshold</vt:lpstr>
      <vt:lpstr>Threshold2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Drew</dc:creator>
  <cp:lastModifiedBy>Andrew Wooding</cp:lastModifiedBy>
  <dcterms:created xsi:type="dcterms:W3CDTF">2020-11-02T13:39:21Z</dcterms:created>
  <dcterms:modified xsi:type="dcterms:W3CDTF">2025-12-06T08:51:56Z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df8929c7-ef7b-42ea-b333-562db3f244a8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